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hidePivotFieldList="1" defaultThemeVersion="166925"/>
  <xr:revisionPtr revIDLastSave="0" documentId="8_{243797EF-E31E-4CB7-A6E5-B269792ADBBA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BASE_DEDADOS" sheetId="1" r:id="rId1"/>
    <sheet name="RESUMO" sheetId="2" r:id="rId2"/>
    <sheet name="DASHBOARD" sheetId="3" r:id="rId3"/>
  </sheets>
  <definedNames>
    <definedName name="_xlnm._FilterDatabase" localSheetId="0" hidden="1">BASE_DEDADOS!$A$2:$A$7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2" l="1"/>
  <c r="B48" i="2"/>
  <c r="B46" i="2"/>
  <c r="B45" i="2"/>
  <c r="B7" i="2"/>
  <c r="B3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E3" i="2"/>
  <c r="F7" i="1"/>
  <c r="B39" i="2"/>
  <c r="B38" i="2"/>
  <c r="B37" i="2"/>
  <c r="B40" i="2"/>
  <c r="C40" i="2" s="1"/>
  <c r="M29" i="1"/>
  <c r="M28" i="1"/>
  <c r="M24" i="1"/>
  <c r="M22" i="1"/>
  <c r="M19" i="1"/>
  <c r="M17" i="1"/>
  <c r="M15" i="1"/>
  <c r="M13" i="1"/>
  <c r="M21" i="1"/>
  <c r="M8" i="1"/>
  <c r="L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B29" i="2"/>
  <c r="B24" i="2"/>
  <c r="B23" i="2"/>
  <c r="B22" i="2"/>
  <c r="F4" i="1"/>
  <c r="B6" i="2"/>
  <c r="F23" i="1"/>
  <c r="M23" i="1" s="1"/>
  <c r="F3" i="1"/>
  <c r="M3" i="1" s="1"/>
  <c r="M4" i="1"/>
  <c r="F5" i="1"/>
  <c r="M5" i="1" s="1"/>
  <c r="F6" i="1"/>
  <c r="M6" i="1" s="1"/>
  <c r="F8" i="1"/>
  <c r="F9" i="1"/>
  <c r="M9" i="1" s="1"/>
  <c r="F10" i="1"/>
  <c r="M10" i="1" s="1"/>
  <c r="F11" i="1"/>
  <c r="M11" i="1" s="1"/>
  <c r="F12" i="1"/>
  <c r="M12" i="1" s="1"/>
  <c r="F13" i="1"/>
  <c r="F14" i="1"/>
  <c r="M14" i="1" s="1"/>
  <c r="F15" i="1"/>
  <c r="F16" i="1"/>
  <c r="M16" i="1" s="1"/>
  <c r="F17" i="1"/>
  <c r="F18" i="1"/>
  <c r="M18" i="1" s="1"/>
  <c r="F19" i="1"/>
  <c r="F20" i="1"/>
  <c r="M20" i="1" s="1"/>
  <c r="F21" i="1"/>
  <c r="F22" i="1"/>
  <c r="F24" i="1"/>
  <c r="F25" i="1"/>
  <c r="M25" i="1" s="1"/>
  <c r="F26" i="1"/>
  <c r="M26" i="1" s="1"/>
  <c r="F27" i="1"/>
  <c r="M27" i="1" s="1"/>
  <c r="F28" i="1"/>
  <c r="F29" i="1"/>
  <c r="F30" i="1"/>
  <c r="M30" i="1" s="1"/>
  <c r="F31" i="1"/>
  <c r="M31" i="1" s="1"/>
  <c r="F32" i="1"/>
  <c r="M32" i="1" s="1"/>
  <c r="F33" i="1"/>
  <c r="M33" i="1" s="1"/>
  <c r="F2" i="1"/>
  <c r="M2" i="1" s="1"/>
  <c r="M7" i="1" l="1"/>
  <c r="B41" i="2"/>
  <c r="C41" i="2" s="1"/>
  <c r="B13" i="2"/>
  <c r="B25" i="2"/>
  <c r="C25" i="2" s="1"/>
  <c r="B14" i="2"/>
  <c r="E4" i="2"/>
  <c r="B4" i="2"/>
  <c r="C22" i="2"/>
  <c r="C23" i="2"/>
  <c r="C24" i="2"/>
  <c r="B31" i="2"/>
  <c r="B30" i="2"/>
  <c r="C13" i="2"/>
  <c r="C17" i="2"/>
  <c r="C16" i="2"/>
  <c r="B18" i="2"/>
  <c r="C18" i="2" s="1"/>
  <c r="C14" i="2"/>
  <c r="B8" i="2"/>
  <c r="L2" i="1"/>
  <c r="L33" i="1"/>
  <c r="O33" i="1" s="1"/>
  <c r="L32" i="1"/>
  <c r="O32" i="1" s="1"/>
  <c r="L31" i="1"/>
  <c r="O31" i="1" s="1"/>
  <c r="L30" i="1"/>
  <c r="O30" i="1" s="1"/>
  <c r="L29" i="1"/>
  <c r="O29" i="1" s="1"/>
  <c r="L28" i="1"/>
  <c r="O28" i="1" s="1"/>
  <c r="L27" i="1"/>
  <c r="O27" i="1" s="1"/>
  <c r="L26" i="1"/>
  <c r="O26" i="1" s="1"/>
  <c r="L25" i="1"/>
  <c r="O25" i="1" s="1"/>
  <c r="L24" i="1"/>
  <c r="O24" i="1" s="1"/>
  <c r="L22" i="1"/>
  <c r="O22" i="1" s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O15" i="1" s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O8" i="1"/>
  <c r="L7" i="1"/>
  <c r="O7" i="1" s="1"/>
  <c r="L6" i="1"/>
  <c r="O6" i="1" s="1"/>
  <c r="L5" i="1"/>
  <c r="O5" i="1" s="1"/>
  <c r="L4" i="1"/>
  <c r="O4" i="1" s="1"/>
  <c r="L3" i="1"/>
  <c r="O3" i="1" s="1"/>
  <c r="L23" i="1"/>
  <c r="O23" i="1" s="1"/>
  <c r="C39" i="2" l="1"/>
  <c r="C38" i="2"/>
  <c r="C37" i="2"/>
  <c r="E5" i="2"/>
  <c r="B15" i="2"/>
  <c r="C15" i="2" s="1"/>
  <c r="B5" i="2"/>
  <c r="O2" i="1"/>
  <c r="B9" i="2"/>
  <c r="E8" i="2" l="1"/>
  <c r="B32" i="2"/>
  <c r="B33" i="2" s="1"/>
</calcChain>
</file>

<file path=xl/sharedStrings.xml><?xml version="1.0" encoding="utf-8"?>
<sst xmlns="http://schemas.openxmlformats.org/spreadsheetml/2006/main" count="76" uniqueCount="59">
  <si>
    <t>Data</t>
  </si>
  <si>
    <t>km_rodado</t>
  </si>
  <si>
    <t>Qtde_entregas</t>
  </si>
  <si>
    <t>Receita</t>
  </si>
  <si>
    <t>Incentivo</t>
  </si>
  <si>
    <t>Vale_gasolina</t>
  </si>
  <si>
    <t>Combustível</t>
  </si>
  <si>
    <t>Manutenção</t>
  </si>
  <si>
    <t>Pedagio</t>
  </si>
  <si>
    <t>Receita_bruta_total</t>
  </si>
  <si>
    <t>Despesa_operacional</t>
  </si>
  <si>
    <t>Lucro_operacional</t>
  </si>
  <si>
    <t>Receita_por_entrega</t>
  </si>
  <si>
    <t>Custo_por_entrega</t>
  </si>
  <si>
    <t>EXIBIR</t>
  </si>
  <si>
    <t xml:space="preserve">INDICADORES    OPERACIONAIS </t>
  </si>
  <si>
    <t>DRE SIMPLIFICADA</t>
  </si>
  <si>
    <t>INDICADOR</t>
  </si>
  <si>
    <t>VALOR</t>
  </si>
  <si>
    <t>RECEITA_BRUTA_TOTAL</t>
  </si>
  <si>
    <t>Receita Bruta Total</t>
  </si>
  <si>
    <t>DESPESA_OPERACIONAL</t>
  </si>
  <si>
    <t>(-) Despesa operacional</t>
  </si>
  <si>
    <t>LUCRO_OPERACIONAL</t>
  </si>
  <si>
    <t>Lucro operacional</t>
  </si>
  <si>
    <t>QTD_ENTREGAS</t>
  </si>
  <si>
    <t>(-) DAS-imposto MEI</t>
  </si>
  <si>
    <t>TICKET_MÉDIO</t>
  </si>
  <si>
    <t>(-) Parcela financiamento moto</t>
  </si>
  <si>
    <t>CUSTO_MÉDIO_POR_ENTREGA</t>
  </si>
  <si>
    <t xml:space="preserve">Resultado liquído disponível </t>
  </si>
  <si>
    <t>LUCRO_MÉDIO_POR_ENTREGA</t>
  </si>
  <si>
    <t>MARGEM (%)</t>
  </si>
  <si>
    <t>(%)</t>
  </si>
  <si>
    <t>Receita bruta total</t>
  </si>
  <si>
    <t>(-) Despesa Operacional</t>
  </si>
  <si>
    <t>Margem operacional</t>
  </si>
  <si>
    <t>(-) DAS</t>
  </si>
  <si>
    <t xml:space="preserve">(-) Parcela moto </t>
  </si>
  <si>
    <t>Margem liquída</t>
  </si>
  <si>
    <t>COMPOSIÇÃO DAS DESPESAS OPERACIONAL</t>
  </si>
  <si>
    <t>Despesa total</t>
  </si>
  <si>
    <t>EFICIÊNCIA POR KM RODADO</t>
  </si>
  <si>
    <t>total  km rodado</t>
  </si>
  <si>
    <t>Receita por km</t>
  </si>
  <si>
    <t>Custo por km</t>
  </si>
  <si>
    <t>Lucro por km</t>
  </si>
  <si>
    <t>Indice de eficiência</t>
  </si>
  <si>
    <t>COMPOSIÇÃO DA RECEITA</t>
  </si>
  <si>
    <t xml:space="preserve">INDICADOR </t>
  </si>
  <si>
    <t xml:space="preserve">Receita por entrega </t>
  </si>
  <si>
    <t>Incentivos recebidos</t>
  </si>
  <si>
    <t>Vale gasolina</t>
  </si>
  <si>
    <t>Vale pedagio</t>
  </si>
  <si>
    <t>MELHOR DIA / PIOR DIA</t>
  </si>
  <si>
    <t>Melhor dia (receita/entrega)</t>
  </si>
  <si>
    <t>Maior receita por entrega</t>
  </si>
  <si>
    <t>Pior dia (receita/entrega)</t>
  </si>
  <si>
    <t xml:space="preserve">Menor receita por entrega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</si>
</sst>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&quot;R$&quot;\ #,##0.00"/>
    <numFmt numFmtId="166" formatCode="0.0%"/>
    <numFmt numFmtId="167" formatCode="[$-F800]dddd\,\ mmmm\ dd\,\ yyyy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0" fillId="0" borderId="3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5" fontId="0" fillId="0" borderId="2" xfId="0" applyNumberFormat="1" applyBorder="1"/>
    <xf numFmtId="165" fontId="0" fillId="0" borderId="3" xfId="0" applyNumberForma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0" borderId="1" xfId="0" applyNumberFormat="1" applyFont="1" applyBorder="1"/>
    <xf numFmtId="0" fontId="3" fillId="0" borderId="1" xfId="0" applyNumberFormat="1" applyFont="1" applyBorder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0" xfId="0" applyBorder="1"/>
    <xf numFmtId="0" fontId="0" fillId="0" borderId="2" xfId="0" applyBorder="1"/>
    <xf numFmtId="0" fontId="7" fillId="0" borderId="0" xfId="0" applyFont="1" applyBorder="1" applyAlignment="1">
      <alignment wrapText="1"/>
    </xf>
    <xf numFmtId="0" fontId="5" fillId="0" borderId="3" xfId="0" applyFont="1" applyBorder="1"/>
    <xf numFmtId="165" fontId="3" fillId="0" borderId="3" xfId="0" applyNumberFormat="1" applyFont="1" applyBorder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0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166" fontId="0" fillId="0" borderId="1" xfId="0" applyNumberFormat="1" applyFont="1" applyBorder="1"/>
    <xf numFmtId="165" fontId="0" fillId="0" borderId="5" xfId="0" applyNumberFormat="1" applyBorder="1"/>
    <xf numFmtId="165" fontId="0" fillId="0" borderId="4" xfId="0" applyNumberFormat="1" applyBorder="1"/>
    <xf numFmtId="0" fontId="4" fillId="3" borderId="1" xfId="0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horizontal="left" vertical="center"/>
    </xf>
    <xf numFmtId="167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&quot;R$&quot;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theme="9" tint="0.39997558519241921"/>
        </patternFill>
      </fill>
      <alignment horizontal="left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lucro diário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BASE_DEDADOS!A2:A33</c:f>
              <c:numCache>
                <c:formatCode>m/d/yyyy</c:formatCode>
                <c:ptCount val="32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</c:numCache>
            </c:numRef>
          </c:cat>
          <c:val>
            <c:numRef>
              <c:f>BASE_DEDADOS!L2:L33</c:f>
              <c:numCache>
                <c:formatCode>"R$"\ #,##0.00</c:formatCode>
                <c:ptCount val="32"/>
                <c:pt idx="0">
                  <c:v>155.89000000000001</c:v>
                </c:pt>
                <c:pt idx="1">
                  <c:v>139.88999999999999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450.09000000000003</c:v>
                </c:pt>
                <c:pt idx="6">
                  <c:v>0</c:v>
                </c:pt>
                <c:pt idx="7">
                  <c:v>307.89000000000004</c:v>
                </c:pt>
                <c:pt idx="8">
                  <c:v>199.09</c:v>
                </c:pt>
                <c:pt idx="9">
                  <c:v>234.59</c:v>
                </c:pt>
                <c:pt idx="10">
                  <c:v>245.29</c:v>
                </c:pt>
                <c:pt idx="11">
                  <c:v>0</c:v>
                </c:pt>
                <c:pt idx="12">
                  <c:v>199.09</c:v>
                </c:pt>
                <c:pt idx="13">
                  <c:v>0</c:v>
                </c:pt>
                <c:pt idx="14">
                  <c:v>205.48999999999998</c:v>
                </c:pt>
                <c:pt idx="15">
                  <c:v>0</c:v>
                </c:pt>
                <c:pt idx="16">
                  <c:v>85.789999999999992</c:v>
                </c:pt>
                <c:pt idx="17">
                  <c:v>0</c:v>
                </c:pt>
                <c:pt idx="18">
                  <c:v>-28.310000000000002</c:v>
                </c:pt>
                <c:pt idx="19">
                  <c:v>0</c:v>
                </c:pt>
                <c:pt idx="20">
                  <c:v>0</c:v>
                </c:pt>
                <c:pt idx="21">
                  <c:v>66.69</c:v>
                </c:pt>
                <c:pt idx="22">
                  <c:v>0</c:v>
                </c:pt>
                <c:pt idx="23">
                  <c:v>324.79000000000002</c:v>
                </c:pt>
                <c:pt idx="24">
                  <c:v>179.89</c:v>
                </c:pt>
                <c:pt idx="25">
                  <c:v>130.29</c:v>
                </c:pt>
                <c:pt idx="26">
                  <c:v>0</c:v>
                </c:pt>
                <c:pt idx="27">
                  <c:v>0</c:v>
                </c:pt>
                <c:pt idx="28">
                  <c:v>240.68999999999997</c:v>
                </c:pt>
                <c:pt idx="29">
                  <c:v>438.28999999999996</c:v>
                </c:pt>
                <c:pt idx="30">
                  <c:v>383.29</c:v>
                </c:pt>
                <c:pt idx="31">
                  <c:v>438.28999999999996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F-4C80-A120-7CD8B545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853448"/>
        <c:axId val="1592765960"/>
      </c:lineChart>
      <c:dateAx>
        <c:axId val="1585853448"/>
        <c:scaling>
          <c:orientation val="minMax"/>
        </c:scaling>
        <c:delete val="0"/>
        <c:axPos val="b"/>
        <c:numFmt formatCode="dd/mm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65960"/>
        <c:crosses val="autoZero"/>
        <c:auto val="1"/>
        <c:lblOffset val="100"/>
        <c:baseTimeUnit val="days"/>
      </c:dateAx>
      <c:valAx>
        <c:axId val="159276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5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x CUSTO POR ENTREGA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RECEITA_POR_ENTREGA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BASE_DEDADOS!A2:A33</c:f>
              <c:numCache>
                <c:formatCode>m/d/yyyy</c:formatCode>
                <c:ptCount val="32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</c:numCache>
            </c:numRef>
          </c:cat>
          <c:val>
            <c:numRef>
              <c:f>BASE_DEDADOS!M2:M33</c:f>
              <c:numCache>
                <c:formatCode>"R$"\ #,##0.00</c:formatCode>
                <c:ptCount val="32"/>
                <c:pt idx="0">
                  <c:v>4.6881355932203395</c:v>
                </c:pt>
                <c:pt idx="1">
                  <c:v>4.3578947368421055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5.1717391304347826</c:v>
                </c:pt>
                <c:pt idx="6">
                  <c:v>0</c:v>
                </c:pt>
                <c:pt idx="7">
                  <c:v>4.17</c:v>
                </c:pt>
                <c:pt idx="8">
                  <c:v>6.4228571428571435</c:v>
                </c:pt>
                <c:pt idx="9">
                  <c:v>2.6292929292929292</c:v>
                </c:pt>
                <c:pt idx="10">
                  <c:v>14.263157894736842</c:v>
                </c:pt>
                <c:pt idx="11">
                  <c:v>0</c:v>
                </c:pt>
                <c:pt idx="12">
                  <c:v>6.4228571428571435</c:v>
                </c:pt>
                <c:pt idx="13">
                  <c:v>0</c:v>
                </c:pt>
                <c:pt idx="14">
                  <c:v>4.2814814814814817</c:v>
                </c:pt>
                <c:pt idx="15">
                  <c:v>0</c:v>
                </c:pt>
                <c:pt idx="16">
                  <c:v>11.15</c:v>
                </c:pt>
                <c:pt idx="17">
                  <c:v>0</c:v>
                </c:pt>
                <c:pt idx="18">
                  <c:v>4.4000000000000004</c:v>
                </c:pt>
                <c:pt idx="19">
                  <c:v>0</c:v>
                </c:pt>
                <c:pt idx="20">
                  <c:v>0</c:v>
                </c:pt>
                <c:pt idx="21">
                  <c:v>18.48</c:v>
                </c:pt>
                <c:pt idx="22">
                  <c:v>0</c:v>
                </c:pt>
                <c:pt idx="23">
                  <c:v>4.4935897435897436</c:v>
                </c:pt>
                <c:pt idx="24">
                  <c:v>4.8952380952380947</c:v>
                </c:pt>
                <c:pt idx="25">
                  <c:v>78</c:v>
                </c:pt>
                <c:pt idx="26">
                  <c:v>0</c:v>
                </c:pt>
                <c:pt idx="27">
                  <c:v>0</c:v>
                </c:pt>
                <c:pt idx="28">
                  <c:v>4.2285714285714286</c:v>
                </c:pt>
                <c:pt idx="29">
                  <c:v>4.7622448979591834</c:v>
                </c:pt>
                <c:pt idx="30">
                  <c:v>4.9878048780487809</c:v>
                </c:pt>
                <c:pt idx="31">
                  <c:v>4.7622448979591834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D-4B70-8A03-5EB41270D482}"/>
            </c:ext>
          </c:extLst>
        </c:ser>
        <c:ser>
          <c:idx val="1"/>
          <c:order val="1"/>
          <c:tx>
            <c:v>CUSTO_POR_ENTREGA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BASE_DEDADOS!A2:A33</c:f>
              <c:numCache>
                <c:formatCode>m/d/yyyy</c:formatCode>
                <c:ptCount val="32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</c:numCache>
            </c:numRef>
          </c:cat>
          <c:val>
            <c:numRef>
              <c:f>BASE_DEDADOS!N2:N33</c:f>
              <c:numCache>
                <c:formatCode>"R$"\ #,##0.00</c:formatCode>
                <c:ptCount val="32"/>
                <c:pt idx="0">
                  <c:v>2.0459322033898308</c:v>
                </c:pt>
                <c:pt idx="1">
                  <c:v>0.67657894736842106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0.27945652173913044</c:v>
                </c:pt>
                <c:pt idx="6">
                  <c:v>0</c:v>
                </c:pt>
                <c:pt idx="7">
                  <c:v>0.32137500000000002</c:v>
                </c:pt>
                <c:pt idx="8">
                  <c:v>0.73457142857142854</c:v>
                </c:pt>
                <c:pt idx="9">
                  <c:v>0.2596969696969697</c:v>
                </c:pt>
                <c:pt idx="10">
                  <c:v>1.3531578947368421</c:v>
                </c:pt>
                <c:pt idx="11">
                  <c:v>0</c:v>
                </c:pt>
                <c:pt idx="12">
                  <c:v>0.73457142857142854</c:v>
                </c:pt>
                <c:pt idx="13">
                  <c:v>0</c:v>
                </c:pt>
                <c:pt idx="14">
                  <c:v>0.47611111111111115</c:v>
                </c:pt>
                <c:pt idx="15">
                  <c:v>0</c:v>
                </c:pt>
                <c:pt idx="16">
                  <c:v>2.5710000000000002</c:v>
                </c:pt>
                <c:pt idx="17">
                  <c:v>0</c:v>
                </c:pt>
                <c:pt idx="18">
                  <c:v>5.7480952380952388</c:v>
                </c:pt>
                <c:pt idx="19">
                  <c:v>0</c:v>
                </c:pt>
                <c:pt idx="20">
                  <c:v>0</c:v>
                </c:pt>
                <c:pt idx="21">
                  <c:v>5.1420000000000003</c:v>
                </c:pt>
                <c:pt idx="22">
                  <c:v>0</c:v>
                </c:pt>
                <c:pt idx="23">
                  <c:v>0.32961538461538464</c:v>
                </c:pt>
                <c:pt idx="24">
                  <c:v>0.61214285714285721</c:v>
                </c:pt>
                <c:pt idx="25">
                  <c:v>12.855</c:v>
                </c:pt>
                <c:pt idx="26">
                  <c:v>0</c:v>
                </c:pt>
                <c:pt idx="27">
                  <c:v>0</c:v>
                </c:pt>
                <c:pt idx="28">
                  <c:v>0.40809523809523812</c:v>
                </c:pt>
                <c:pt idx="29">
                  <c:v>0.28989795918367345</c:v>
                </c:pt>
                <c:pt idx="30">
                  <c:v>0.31353658536585366</c:v>
                </c:pt>
                <c:pt idx="31">
                  <c:v>0.28989795918367345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D-4B70-8A03-5EB41270D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81832"/>
        <c:axId val="1585854984"/>
      </c:lineChart>
      <c:dateAx>
        <c:axId val="1511181832"/>
        <c:scaling>
          <c:orientation val="minMax"/>
        </c:scaling>
        <c:delete val="0"/>
        <c:axPos val="b"/>
        <c:numFmt formatCode="dd/mm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54984"/>
        <c:crosses val="autoZero"/>
        <c:auto val="1"/>
        <c:lblOffset val="100"/>
        <c:baseTimeUnit val="days"/>
      </c:dateAx>
      <c:valAx>
        <c:axId val="158585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22B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RECEITAxDESPESAS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22B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BASE_DEDADOS!$A$2:$A$33</c:f>
              <c:numCache>
                <c:formatCode>m/d/yyyy</c:formatCode>
                <c:ptCount val="32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</c:numCache>
            </c:numRef>
          </c:cat>
          <c:val>
            <c:numRef>
              <c:f>BASE_DEDADOS!$J$2:$J$33</c:f>
              <c:numCache>
                <c:formatCode>"R$"\ #,##0.00</c:formatCode>
                <c:ptCount val="32"/>
                <c:pt idx="0">
                  <c:v>276.60000000000002</c:v>
                </c:pt>
                <c:pt idx="1">
                  <c:v>165.6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475.8</c:v>
                </c:pt>
                <c:pt idx="6">
                  <c:v>0</c:v>
                </c:pt>
                <c:pt idx="7">
                  <c:v>333.6</c:v>
                </c:pt>
                <c:pt idx="8">
                  <c:v>224.8</c:v>
                </c:pt>
                <c:pt idx="9">
                  <c:v>260.3</c:v>
                </c:pt>
                <c:pt idx="10">
                  <c:v>271</c:v>
                </c:pt>
                <c:pt idx="11">
                  <c:v>0</c:v>
                </c:pt>
                <c:pt idx="12">
                  <c:v>224.8</c:v>
                </c:pt>
                <c:pt idx="13">
                  <c:v>0</c:v>
                </c:pt>
                <c:pt idx="14">
                  <c:v>231.2</c:v>
                </c:pt>
                <c:pt idx="15">
                  <c:v>0</c:v>
                </c:pt>
                <c:pt idx="16">
                  <c:v>111.5</c:v>
                </c:pt>
                <c:pt idx="17">
                  <c:v>0</c:v>
                </c:pt>
                <c:pt idx="18">
                  <c:v>92.4</c:v>
                </c:pt>
                <c:pt idx="19">
                  <c:v>0</c:v>
                </c:pt>
                <c:pt idx="20">
                  <c:v>0</c:v>
                </c:pt>
                <c:pt idx="21">
                  <c:v>92.4</c:v>
                </c:pt>
                <c:pt idx="22">
                  <c:v>0</c:v>
                </c:pt>
                <c:pt idx="23">
                  <c:v>350.5</c:v>
                </c:pt>
                <c:pt idx="24">
                  <c:v>205.6</c:v>
                </c:pt>
                <c:pt idx="25">
                  <c:v>156</c:v>
                </c:pt>
                <c:pt idx="26">
                  <c:v>0</c:v>
                </c:pt>
                <c:pt idx="27">
                  <c:v>0</c:v>
                </c:pt>
                <c:pt idx="28">
                  <c:v>266.39999999999998</c:v>
                </c:pt>
                <c:pt idx="29">
                  <c:v>466.7</c:v>
                </c:pt>
                <c:pt idx="30">
                  <c:v>409</c:v>
                </c:pt>
                <c:pt idx="31">
                  <c:v>466.7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3-4A5A-95FC-0DA5BDDDA98B}"/>
            </c:ext>
          </c:extLst>
        </c:ser>
        <c:ser>
          <c:idx val="1"/>
          <c:order val="1"/>
          <c:tx>
            <c:v>Despesa 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BASE_DEDADOS!$A$2:$A$33</c:f>
              <c:numCache>
                <c:formatCode>m/d/yyyy</c:formatCode>
                <c:ptCount val="32"/>
                <c:pt idx="0">
                  <c:v>46020</c:v>
                </c:pt>
                <c:pt idx="1">
                  <c:v>46021</c:v>
                </c:pt>
                <c:pt idx="2">
                  <c:v>46022</c:v>
                </c:pt>
                <c:pt idx="3">
                  <c:v>46023</c:v>
                </c:pt>
                <c:pt idx="4">
                  <c:v>46024</c:v>
                </c:pt>
                <c:pt idx="5">
                  <c:v>46025</c:v>
                </c:pt>
                <c:pt idx="6">
                  <c:v>46026</c:v>
                </c:pt>
                <c:pt idx="7">
                  <c:v>46027</c:v>
                </c:pt>
                <c:pt idx="8">
                  <c:v>46028</c:v>
                </c:pt>
                <c:pt idx="9">
                  <c:v>46029</c:v>
                </c:pt>
                <c:pt idx="10">
                  <c:v>46030</c:v>
                </c:pt>
                <c:pt idx="11">
                  <c:v>46031</c:v>
                </c:pt>
                <c:pt idx="12">
                  <c:v>46032</c:v>
                </c:pt>
                <c:pt idx="13">
                  <c:v>46033</c:v>
                </c:pt>
                <c:pt idx="14">
                  <c:v>46034</c:v>
                </c:pt>
                <c:pt idx="15">
                  <c:v>46035</c:v>
                </c:pt>
                <c:pt idx="16">
                  <c:v>46036</c:v>
                </c:pt>
                <c:pt idx="17">
                  <c:v>46037</c:v>
                </c:pt>
                <c:pt idx="18">
                  <c:v>46038</c:v>
                </c:pt>
                <c:pt idx="19">
                  <c:v>46039</c:v>
                </c:pt>
                <c:pt idx="20">
                  <c:v>46040</c:v>
                </c:pt>
                <c:pt idx="21">
                  <c:v>46041</c:v>
                </c:pt>
                <c:pt idx="22">
                  <c:v>46042</c:v>
                </c:pt>
                <c:pt idx="23">
                  <c:v>46043</c:v>
                </c:pt>
                <c:pt idx="24">
                  <c:v>46044</c:v>
                </c:pt>
                <c:pt idx="25">
                  <c:v>46045</c:v>
                </c:pt>
                <c:pt idx="26">
                  <c:v>46046</c:v>
                </c:pt>
                <c:pt idx="27">
                  <c:v>46047</c:v>
                </c:pt>
                <c:pt idx="28">
                  <c:v>46048</c:v>
                </c:pt>
                <c:pt idx="29">
                  <c:v>46049</c:v>
                </c:pt>
                <c:pt idx="30">
                  <c:v>46050</c:v>
                </c:pt>
                <c:pt idx="31">
                  <c:v>46051</c:v>
                </c:pt>
              </c:numCache>
            </c:numRef>
          </c:cat>
          <c:val>
            <c:numRef>
              <c:f>BASE_DEDADOS!$K$2:$K$33</c:f>
              <c:numCache>
                <c:formatCode>"R$"\ #,##0.00</c:formatCode>
                <c:ptCount val="32"/>
                <c:pt idx="0">
                  <c:v>120.71000000000001</c:v>
                </c:pt>
                <c:pt idx="1">
                  <c:v>25.71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25.71</c:v>
                </c:pt>
                <c:pt idx="6">
                  <c:v>0</c:v>
                </c:pt>
                <c:pt idx="7">
                  <c:v>25.71</c:v>
                </c:pt>
                <c:pt idx="8">
                  <c:v>25.71</c:v>
                </c:pt>
                <c:pt idx="9">
                  <c:v>25.71</c:v>
                </c:pt>
                <c:pt idx="10">
                  <c:v>25.71</c:v>
                </c:pt>
                <c:pt idx="11">
                  <c:v>0</c:v>
                </c:pt>
                <c:pt idx="12">
                  <c:v>25.71</c:v>
                </c:pt>
                <c:pt idx="13">
                  <c:v>0</c:v>
                </c:pt>
                <c:pt idx="14">
                  <c:v>25.71</c:v>
                </c:pt>
                <c:pt idx="15">
                  <c:v>0</c:v>
                </c:pt>
                <c:pt idx="16">
                  <c:v>25.71</c:v>
                </c:pt>
                <c:pt idx="17">
                  <c:v>0</c:v>
                </c:pt>
                <c:pt idx="18">
                  <c:v>120.71000000000001</c:v>
                </c:pt>
                <c:pt idx="19">
                  <c:v>0</c:v>
                </c:pt>
                <c:pt idx="20">
                  <c:v>0</c:v>
                </c:pt>
                <c:pt idx="21">
                  <c:v>25.71</c:v>
                </c:pt>
                <c:pt idx="22">
                  <c:v>0</c:v>
                </c:pt>
                <c:pt idx="23">
                  <c:v>25.71</c:v>
                </c:pt>
                <c:pt idx="24">
                  <c:v>25.71</c:v>
                </c:pt>
                <c:pt idx="25">
                  <c:v>25.71</c:v>
                </c:pt>
                <c:pt idx="26">
                  <c:v>0</c:v>
                </c:pt>
                <c:pt idx="27">
                  <c:v>0</c:v>
                </c:pt>
                <c:pt idx="28">
                  <c:v>25.71</c:v>
                </c:pt>
                <c:pt idx="29">
                  <c:v>28.41</c:v>
                </c:pt>
                <c:pt idx="30">
                  <c:v>25.71</c:v>
                </c:pt>
                <c:pt idx="31">
                  <c:v>28.41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3-4A5A-95FC-0DA5BDDDA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5"/>
        <c:overlap val="-27"/>
        <c:axId val="2091429895"/>
        <c:axId val="2091431943"/>
      </c:barChart>
      <c:dateAx>
        <c:axId val="2091429895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0CECE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31943"/>
        <c:crosses val="autoZero"/>
        <c:auto val="1"/>
        <c:lblOffset val="100"/>
        <c:baseTimeUnit val="days"/>
      </c:dateAx>
      <c:valAx>
        <c:axId val="209143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2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0</xdr:row>
      <xdr:rowOff>76200</xdr:rowOff>
    </xdr:from>
    <xdr:to>
      <xdr:col>15</xdr:col>
      <xdr:colOff>581025</xdr:colOff>
      <xdr:row>14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50A925-A8DB-4C9D-D9F8-21140899B2C0}"/>
            </a:ext>
            <a:ext uri="{147F2762-F138-4A5C-976F-8EAC2B608ADB}">
              <a16:predDERef xmlns:a16="http://schemas.microsoft.com/office/drawing/2014/main" pred="{2183264A-A6F6-464C-AD6A-1D0881BF2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15</xdr:row>
      <xdr:rowOff>152400</xdr:rowOff>
    </xdr:from>
    <xdr:to>
      <xdr:col>12</xdr:col>
      <xdr:colOff>419100</xdr:colOff>
      <xdr:row>30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C9A106-0300-2DAD-AA64-AF4B7932698D}"/>
            </a:ext>
            <a:ext uri="{147F2762-F138-4A5C-976F-8EAC2B608ADB}">
              <a16:predDERef xmlns:a16="http://schemas.microsoft.com/office/drawing/2014/main" pred="{1950A925-A8DB-4C9D-D9F8-21140899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0</xdr:row>
      <xdr:rowOff>85725</xdr:rowOff>
    </xdr:from>
    <xdr:to>
      <xdr:col>8</xdr:col>
      <xdr:colOff>161925</xdr:colOff>
      <xdr:row>14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D704D7-4D0C-B65D-C431-6FEB7A3A2627}"/>
            </a:ext>
            <a:ext uri="{147F2762-F138-4A5C-976F-8EAC2B608ADB}">
              <a16:predDERef xmlns:a16="http://schemas.microsoft.com/office/drawing/2014/main" pred="{E7C9A106-0300-2DAD-AA64-AF4B79326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12</xdr:row>
      <xdr:rowOff>180975</xdr:rowOff>
    </xdr:from>
    <xdr:to>
      <xdr:col>10</xdr:col>
      <xdr:colOff>428625</xdr:colOff>
      <xdr:row>14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0FFF6-63A8-32A6-02B2-88EFFB2C6311}"/>
            </a:ext>
            <a:ext uri="{147F2762-F138-4A5C-976F-8EAC2B608ADB}">
              <a16:predDERef xmlns:a16="http://schemas.microsoft.com/office/drawing/2014/main" pred="{43D704D7-4D0C-B65D-C431-6FEB7A3A2627}"/>
            </a:ext>
          </a:extLst>
        </xdr:cNvPr>
        <xdr:cNvSpPr txBox="1"/>
      </xdr:nvSpPr>
      <xdr:spPr>
        <a:xfrm>
          <a:off x="5153025" y="2466975"/>
          <a:ext cx="1371600" cy="3429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800">
              <a:latin typeface="+mn-lt"/>
              <a:ea typeface="+mn-lt"/>
              <a:cs typeface="+mn-lt"/>
            </a:rPr>
            <a:t>Dia sem operação - custo de manutenção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92223-08B9-49DB-BD13-6B0ACC4089B2}" name="Tabela1" displayName="Tabela1" ref="A1:O33" totalsRowShown="0" headerRowDxfId="15">
  <autoFilter ref="A1:O33" xr:uid="{8C392223-08B9-49DB-BD13-6B0ACC4089B2}"/>
  <tableColumns count="15">
    <tableColumn id="1" xr3:uid="{08386FE9-8E31-4E36-A3DD-C0B09B82607F}" name="Data" dataDxfId="14"/>
    <tableColumn id="2" xr3:uid="{EDCA7A6D-B117-432D-A92A-8131F6D70E3C}" name="km_rodado" dataDxfId="13"/>
    <tableColumn id="3" xr3:uid="{B8306A28-0044-4062-9E8D-63459BDF2201}" name="Qtde_entregas" dataDxfId="12"/>
    <tableColumn id="4" xr3:uid="{C0A70919-9027-4F59-9716-B5110DE8BF65}" name="Receita" dataDxfId="11"/>
    <tableColumn id="5" xr3:uid="{9973E0E3-0319-42FE-A914-F61228D1D9EC}" name="Incentivo" dataDxfId="10"/>
    <tableColumn id="6" xr3:uid="{7E7405A8-6244-439F-9905-D79F29A35E3F}" name="Vale_gasolina" dataDxfId="9">
      <calculatedColumnFormula>IF(B2&gt;60,B2*1,IF(B2&gt;=40,B2*0.7,B2*0.4))</calculatedColumnFormula>
    </tableColumn>
    <tableColumn id="7" xr3:uid="{80D13BA9-BFF7-4133-8FDC-6C2156BBACCB}" name="Combustível" dataDxfId="8"/>
    <tableColumn id="15" xr3:uid="{C6D0184A-FC50-4DB5-9F65-A031828ADDAD}" name="Manutenção" dataDxfId="7"/>
    <tableColumn id="8" xr3:uid="{359096E0-1C27-47BD-B789-B652789A14F3}" name="Pedagio" dataDxfId="6"/>
    <tableColumn id="9" xr3:uid="{716E4A42-8B74-42E8-8707-15DDABE6BE4D}" name="Receita_bruta_total" dataDxfId="5">
      <calculatedColumnFormula>D2+E2+F2+I2</calculatedColumnFormula>
    </tableColumn>
    <tableColumn id="10" xr3:uid="{CD89BEB7-EF5D-49A0-AE30-9F952FECA56F}" name="Despesa_operacional" dataDxfId="4">
      <calculatedColumnFormula>G2+H2+I2</calculatedColumnFormula>
    </tableColumn>
    <tableColumn id="11" xr3:uid="{118FEE50-B4C0-4741-90D9-DD49CD17C179}" name="Lucro_operacional" dataDxfId="3">
      <calculatedColumnFormula>J2-K2</calculatedColumnFormula>
    </tableColumn>
    <tableColumn id="12" xr3:uid="{AFAD4022-A39D-49B8-A48E-4D7ED504CF46}" name="Receita_por_entrega" dataDxfId="2">
      <calculatedColumnFormula>J2/C2</calculatedColumnFormula>
    </tableColumn>
    <tableColumn id="13" xr3:uid="{D9A251B7-9E38-47F4-873C-B8159E6BE07C}" name="Custo_por_entrega" dataDxfId="1">
      <calculatedColumnFormula>IFERROR(K2/C2,0)</calculatedColumnFormula>
    </tableColumn>
    <tableColumn id="14" xr3:uid="{5100CD31-5223-4578-B084-05AC87455408}" name="EXIBIR" dataDxfId="0">
      <calculatedColumnFormula>IF(L2=0,"","OK")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workbookViewId="0">
      <selection activeCell="A3" sqref="A3"/>
    </sheetView>
  </sheetViews>
  <sheetFormatPr defaultRowHeight="15"/>
  <cols>
    <col min="1" max="1" width="13.42578125" bestFit="1" customWidth="1"/>
    <col min="2" max="2" width="13.42578125" style="2" customWidth="1"/>
    <col min="3" max="3" width="16.42578125" bestFit="1" customWidth="1"/>
    <col min="4" max="4" width="10.5703125" style="1" bestFit="1" customWidth="1"/>
    <col min="5" max="5" width="11.42578125" bestFit="1" customWidth="1"/>
    <col min="6" max="6" width="15.42578125" style="3" bestFit="1" customWidth="1"/>
    <col min="7" max="8" width="14" customWidth="1"/>
    <col min="9" max="9" width="10.28515625" bestFit="1" customWidth="1"/>
    <col min="10" max="10" width="21" bestFit="1" customWidth="1"/>
    <col min="11" max="11" width="22.140625" bestFit="1" customWidth="1"/>
    <col min="12" max="12" width="19.5703125" bestFit="1" customWidth="1"/>
    <col min="13" max="13" width="21.85546875" bestFit="1" customWidth="1"/>
    <col min="14" max="14" width="20.28515625" bestFit="1" customWidth="1"/>
  </cols>
  <sheetData>
    <row r="1" spans="1:17">
      <c r="A1" s="4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8" t="s">
        <v>6</v>
      </c>
      <c r="H1" s="22" t="s">
        <v>7</v>
      </c>
      <c r="I1" s="10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7">
      <c r="A2" s="11">
        <v>46020</v>
      </c>
      <c r="B2" s="6">
        <v>58</v>
      </c>
      <c r="C2" s="13">
        <v>59</v>
      </c>
      <c r="D2" s="5">
        <v>236</v>
      </c>
      <c r="E2" s="5"/>
      <c r="F2" s="5">
        <f>IF(B2&gt;60,B2*1,IF(B2&gt;=40,B2*0.7,B2*0.4))</f>
        <v>40.599999999999994</v>
      </c>
      <c r="G2" s="5">
        <v>25.71</v>
      </c>
      <c r="H2" s="5">
        <v>95</v>
      </c>
      <c r="I2" s="45"/>
      <c r="J2" s="5">
        <f t="shared" ref="J2:J33" si="0">D2+E2+F2+I2</f>
        <v>276.60000000000002</v>
      </c>
      <c r="K2" s="46">
        <f t="shared" ref="K2:K33" si="1">G2+H2+I2</f>
        <v>120.71000000000001</v>
      </c>
      <c r="L2" s="5">
        <f>J2-K2</f>
        <v>155.89000000000001</v>
      </c>
      <c r="M2" s="5">
        <f>J2/C2</f>
        <v>4.6881355932203395</v>
      </c>
      <c r="N2" s="5">
        <f t="shared" ref="N2:N33" si="2">IFERROR(K2/C2,0)</f>
        <v>2.0459322033898308</v>
      </c>
      <c r="O2" s="15" t="str">
        <f t="shared" ref="O2:O33" si="3">IF(L2=0,"","OK")</f>
        <v>OK</v>
      </c>
    </row>
    <row r="3" spans="1:17">
      <c r="A3" s="12">
        <v>46021</v>
      </c>
      <c r="B3" s="4">
        <v>34</v>
      </c>
      <c r="C3" s="14">
        <v>38</v>
      </c>
      <c r="D3" s="5">
        <v>152</v>
      </c>
      <c r="E3" s="5"/>
      <c r="F3" s="5">
        <f t="shared" ref="F3:F33" si="4">IF(B3&gt;60,B3*1,IF(B3&gt;=40,B3*0.7,B3*0.4))</f>
        <v>13.600000000000001</v>
      </c>
      <c r="G3" s="5">
        <v>25.71</v>
      </c>
      <c r="H3" s="5"/>
      <c r="I3" s="5"/>
      <c r="J3" s="15">
        <f t="shared" si="0"/>
        <v>165.6</v>
      </c>
      <c r="K3" s="5">
        <f t="shared" si="1"/>
        <v>25.71</v>
      </c>
      <c r="L3" s="5">
        <f t="shared" ref="L3:L33" si="5">J3-K3</f>
        <v>139.88999999999999</v>
      </c>
      <c r="M3" s="5">
        <f t="shared" ref="M3:M33" si="6">J3/C3</f>
        <v>4.3578947368421055</v>
      </c>
      <c r="N3" s="5">
        <f t="shared" si="2"/>
        <v>0.67657894736842106</v>
      </c>
      <c r="O3" s="5" t="str">
        <f t="shared" si="3"/>
        <v>OK</v>
      </c>
    </row>
    <row r="4" spans="1:17">
      <c r="A4" s="11">
        <v>46022</v>
      </c>
      <c r="B4" s="7"/>
      <c r="C4" s="13"/>
      <c r="D4" s="5"/>
      <c r="E4" s="5"/>
      <c r="F4" s="5">
        <f t="shared" si="4"/>
        <v>0</v>
      </c>
      <c r="G4" s="5"/>
      <c r="H4" s="5"/>
      <c r="I4" s="5"/>
      <c r="J4" s="5">
        <f t="shared" si="0"/>
        <v>0</v>
      </c>
      <c r="K4" s="5">
        <f t="shared" si="1"/>
        <v>0</v>
      </c>
      <c r="L4" s="5">
        <f t="shared" si="5"/>
        <v>0</v>
      </c>
      <c r="M4" s="5">
        <f>IFERROR(J4/C4,0)</f>
        <v>0</v>
      </c>
      <c r="N4" s="5">
        <f t="shared" si="2"/>
        <v>0</v>
      </c>
      <c r="O4" s="5" t="str">
        <f t="shared" si="3"/>
        <v/>
      </c>
    </row>
    <row r="5" spans="1:17">
      <c r="A5" s="11">
        <v>46023</v>
      </c>
      <c r="B5" s="4"/>
      <c r="C5" s="13"/>
      <c r="D5" s="5"/>
      <c r="E5" s="5"/>
      <c r="F5" s="5">
        <f t="shared" si="4"/>
        <v>0</v>
      </c>
      <c r="G5" s="5"/>
      <c r="H5" s="5"/>
      <c r="I5" s="5"/>
      <c r="J5" s="5">
        <f t="shared" si="0"/>
        <v>0</v>
      </c>
      <c r="K5" s="5">
        <f t="shared" si="1"/>
        <v>0</v>
      </c>
      <c r="L5" s="5">
        <f t="shared" si="5"/>
        <v>0</v>
      </c>
      <c r="M5" s="5">
        <f>IFERROR(J5/C5,)</f>
        <v>0</v>
      </c>
      <c r="N5" s="5">
        <f t="shared" si="2"/>
        <v>0</v>
      </c>
      <c r="O5" s="5" t="str">
        <f t="shared" si="3"/>
        <v/>
      </c>
    </row>
    <row r="6" spans="1:17">
      <c r="A6" s="11">
        <v>46024</v>
      </c>
      <c r="B6" s="4"/>
      <c r="C6" s="13"/>
      <c r="D6" s="5"/>
      <c r="E6" s="5"/>
      <c r="F6" s="5">
        <f t="shared" si="4"/>
        <v>0</v>
      </c>
      <c r="G6" s="5"/>
      <c r="H6" s="5"/>
      <c r="I6" s="5"/>
      <c r="J6" s="5">
        <f t="shared" si="0"/>
        <v>0</v>
      </c>
      <c r="K6" s="5">
        <f t="shared" si="1"/>
        <v>0</v>
      </c>
      <c r="L6" s="5">
        <f t="shared" si="5"/>
        <v>0</v>
      </c>
      <c r="M6" s="5">
        <f>IFERROR(J6/C6,0)</f>
        <v>0</v>
      </c>
      <c r="N6" s="5">
        <f t="shared" si="2"/>
        <v>0</v>
      </c>
      <c r="O6" s="5" t="str">
        <f t="shared" si="3"/>
        <v/>
      </c>
    </row>
    <row r="7" spans="1:17">
      <c r="A7" s="11">
        <v>46025</v>
      </c>
      <c r="B7" s="4">
        <v>54</v>
      </c>
      <c r="C7" s="13">
        <v>92</v>
      </c>
      <c r="D7" s="5">
        <v>368</v>
      </c>
      <c r="E7" s="5">
        <v>70</v>
      </c>
      <c r="F7" s="5">
        <f>IF(B7&gt;60,B7*1,IF(B7&gt;=40,B7*0.7,B7*0.4))</f>
        <v>37.799999999999997</v>
      </c>
      <c r="G7" s="5">
        <v>25.71</v>
      </c>
      <c r="H7" s="5"/>
      <c r="I7" s="5"/>
      <c r="J7" s="5">
        <f t="shared" si="0"/>
        <v>475.8</v>
      </c>
      <c r="K7" s="5">
        <f t="shared" si="1"/>
        <v>25.71</v>
      </c>
      <c r="L7" s="5">
        <f t="shared" si="5"/>
        <v>450.09000000000003</v>
      </c>
      <c r="M7" s="5">
        <f t="shared" si="6"/>
        <v>5.1717391304347826</v>
      </c>
      <c r="N7" s="5">
        <f t="shared" si="2"/>
        <v>0.27945652173913044</v>
      </c>
      <c r="O7" s="5" t="str">
        <f t="shared" si="3"/>
        <v>OK</v>
      </c>
    </row>
    <row r="8" spans="1:17">
      <c r="A8" s="11">
        <v>46026</v>
      </c>
      <c r="B8" s="4"/>
      <c r="C8" s="13"/>
      <c r="D8" s="5"/>
      <c r="E8" s="5"/>
      <c r="F8" s="5">
        <f t="shared" si="4"/>
        <v>0</v>
      </c>
      <c r="G8" s="5"/>
      <c r="H8" s="5"/>
      <c r="I8" s="5"/>
      <c r="J8" s="5">
        <f t="shared" si="0"/>
        <v>0</v>
      </c>
      <c r="K8" s="5">
        <f t="shared" si="1"/>
        <v>0</v>
      </c>
      <c r="L8" s="5">
        <f>J8-K8</f>
        <v>0</v>
      </c>
      <c r="M8" s="5">
        <f>IFERROR(J8/C8,0)</f>
        <v>0</v>
      </c>
      <c r="N8" s="5">
        <f t="shared" si="2"/>
        <v>0</v>
      </c>
      <c r="O8" s="5" t="str">
        <f t="shared" si="3"/>
        <v/>
      </c>
    </row>
    <row r="9" spans="1:17">
      <c r="A9" s="11">
        <v>46027</v>
      </c>
      <c r="B9" s="4">
        <v>34</v>
      </c>
      <c r="C9" s="13">
        <v>80</v>
      </c>
      <c r="D9" s="5">
        <v>320</v>
      </c>
      <c r="E9" s="5"/>
      <c r="F9" s="5">
        <f t="shared" si="4"/>
        <v>13.600000000000001</v>
      </c>
      <c r="G9" s="5">
        <v>25.71</v>
      </c>
      <c r="H9" s="5"/>
      <c r="I9" s="5"/>
      <c r="J9" s="5">
        <f t="shared" si="0"/>
        <v>333.6</v>
      </c>
      <c r="K9" s="5">
        <f t="shared" si="1"/>
        <v>25.71</v>
      </c>
      <c r="L9" s="5">
        <f t="shared" si="5"/>
        <v>307.89000000000004</v>
      </c>
      <c r="M9" s="5">
        <f t="shared" si="6"/>
        <v>4.17</v>
      </c>
      <c r="N9" s="5">
        <f t="shared" si="2"/>
        <v>0.32137500000000002</v>
      </c>
      <c r="O9" s="5" t="str">
        <f t="shared" si="3"/>
        <v>OK</v>
      </c>
    </row>
    <row r="10" spans="1:17">
      <c r="A10" s="11">
        <v>46028</v>
      </c>
      <c r="B10" s="4">
        <v>37</v>
      </c>
      <c r="C10" s="13">
        <v>35</v>
      </c>
      <c r="D10" s="5">
        <v>140</v>
      </c>
      <c r="E10" s="5">
        <v>70</v>
      </c>
      <c r="F10" s="5">
        <f t="shared" si="4"/>
        <v>14.8</v>
      </c>
      <c r="G10" s="5">
        <v>25.71</v>
      </c>
      <c r="H10" s="5"/>
      <c r="I10" s="5"/>
      <c r="J10" s="5">
        <f t="shared" si="0"/>
        <v>224.8</v>
      </c>
      <c r="K10" s="5">
        <f t="shared" si="1"/>
        <v>25.71</v>
      </c>
      <c r="L10" s="5">
        <f t="shared" si="5"/>
        <v>199.09</v>
      </c>
      <c r="M10" s="5">
        <f t="shared" si="6"/>
        <v>6.4228571428571435</v>
      </c>
      <c r="N10" s="5">
        <f t="shared" si="2"/>
        <v>0.73457142857142854</v>
      </c>
      <c r="O10" s="5" t="str">
        <f t="shared" si="3"/>
        <v>OK</v>
      </c>
    </row>
    <row r="11" spans="1:17">
      <c r="A11" s="11">
        <v>46029</v>
      </c>
      <c r="B11" s="4">
        <v>32</v>
      </c>
      <c r="C11" s="13">
        <v>99</v>
      </c>
      <c r="D11" s="5">
        <v>247.5</v>
      </c>
      <c r="E11" s="5"/>
      <c r="F11" s="5">
        <f t="shared" si="4"/>
        <v>12.8</v>
      </c>
      <c r="G11" s="5">
        <v>25.71</v>
      </c>
      <c r="H11" s="5"/>
      <c r="I11" s="5"/>
      <c r="J11" s="5">
        <f t="shared" si="0"/>
        <v>260.3</v>
      </c>
      <c r="K11" s="5">
        <f t="shared" si="1"/>
        <v>25.71</v>
      </c>
      <c r="L11" s="5">
        <f t="shared" si="5"/>
        <v>234.59</v>
      </c>
      <c r="M11" s="5">
        <f t="shared" si="6"/>
        <v>2.6292929292929292</v>
      </c>
      <c r="N11" s="5">
        <f t="shared" si="2"/>
        <v>0.2596969696969697</v>
      </c>
      <c r="O11" s="5" t="str">
        <f t="shared" si="3"/>
        <v>OK</v>
      </c>
    </row>
    <row r="12" spans="1:17">
      <c r="A12" s="11">
        <v>46030</v>
      </c>
      <c r="B12" s="4">
        <v>71</v>
      </c>
      <c r="C12" s="13">
        <v>19</v>
      </c>
      <c r="D12" s="5">
        <v>200</v>
      </c>
      <c r="E12" s="5"/>
      <c r="F12" s="5">
        <f t="shared" si="4"/>
        <v>71</v>
      </c>
      <c r="G12" s="5">
        <v>25.71</v>
      </c>
      <c r="H12" s="5"/>
      <c r="I12" s="5"/>
      <c r="J12" s="5">
        <f t="shared" si="0"/>
        <v>271</v>
      </c>
      <c r="K12" s="5">
        <f t="shared" si="1"/>
        <v>25.71</v>
      </c>
      <c r="L12" s="5">
        <f t="shared" si="5"/>
        <v>245.29</v>
      </c>
      <c r="M12" s="5">
        <f t="shared" si="6"/>
        <v>14.263157894736842</v>
      </c>
      <c r="N12" s="5">
        <f t="shared" si="2"/>
        <v>1.3531578947368421</v>
      </c>
      <c r="O12" s="5" t="str">
        <f t="shared" si="3"/>
        <v>OK</v>
      </c>
    </row>
    <row r="13" spans="1:17">
      <c r="A13" s="11">
        <v>46031</v>
      </c>
      <c r="B13" s="4"/>
      <c r="C13" s="13"/>
      <c r="D13" s="5"/>
      <c r="E13" s="5"/>
      <c r="F13" s="5">
        <f t="shared" si="4"/>
        <v>0</v>
      </c>
      <c r="G13" s="5"/>
      <c r="H13" s="5"/>
      <c r="I13" s="5"/>
      <c r="J13" s="5">
        <f t="shared" si="0"/>
        <v>0</v>
      </c>
      <c r="K13" s="5">
        <f t="shared" si="1"/>
        <v>0</v>
      </c>
      <c r="L13" s="5">
        <f t="shared" si="5"/>
        <v>0</v>
      </c>
      <c r="M13" s="5">
        <f>IFERROR(J13/C13,0)</f>
        <v>0</v>
      </c>
      <c r="N13" s="5">
        <f t="shared" si="2"/>
        <v>0</v>
      </c>
      <c r="O13" s="5" t="str">
        <f t="shared" si="3"/>
        <v/>
      </c>
    </row>
    <row r="14" spans="1:17">
      <c r="A14" s="11">
        <v>46032</v>
      </c>
      <c r="B14" s="4">
        <v>37</v>
      </c>
      <c r="C14" s="13">
        <v>35</v>
      </c>
      <c r="D14" s="5">
        <v>140</v>
      </c>
      <c r="E14" s="5">
        <v>70</v>
      </c>
      <c r="F14" s="5">
        <f t="shared" si="4"/>
        <v>14.8</v>
      </c>
      <c r="G14" s="5">
        <v>25.71</v>
      </c>
      <c r="H14" s="5"/>
      <c r="I14" s="5"/>
      <c r="J14" s="5">
        <f t="shared" si="0"/>
        <v>224.8</v>
      </c>
      <c r="K14" s="5">
        <f t="shared" si="1"/>
        <v>25.71</v>
      </c>
      <c r="L14" s="5">
        <f t="shared" si="5"/>
        <v>199.09</v>
      </c>
      <c r="M14" s="5">
        <f t="shared" si="6"/>
        <v>6.4228571428571435</v>
      </c>
      <c r="N14" s="5">
        <f t="shared" si="2"/>
        <v>0.73457142857142854</v>
      </c>
      <c r="O14" s="5" t="str">
        <f t="shared" si="3"/>
        <v>OK</v>
      </c>
    </row>
    <row r="15" spans="1:17">
      <c r="A15" s="11">
        <v>46033</v>
      </c>
      <c r="B15" s="4"/>
      <c r="C15" s="13"/>
      <c r="D15" s="5"/>
      <c r="E15" s="5"/>
      <c r="F15" s="5">
        <f t="shared" si="4"/>
        <v>0</v>
      </c>
      <c r="G15" s="5"/>
      <c r="H15" s="5"/>
      <c r="I15" s="5"/>
      <c r="J15" s="5">
        <f t="shared" si="0"/>
        <v>0</v>
      </c>
      <c r="K15" s="5">
        <f t="shared" si="1"/>
        <v>0</v>
      </c>
      <c r="L15" s="5">
        <f t="shared" si="5"/>
        <v>0</v>
      </c>
      <c r="M15" s="5">
        <f>IFERROR(J15/C15,0)</f>
        <v>0</v>
      </c>
      <c r="N15" s="5">
        <f t="shared" si="2"/>
        <v>0</v>
      </c>
      <c r="O15" s="5" t="str">
        <f t="shared" si="3"/>
        <v/>
      </c>
      <c r="Q15" s="17" t="b">
        <v>0</v>
      </c>
    </row>
    <row r="16" spans="1:17">
      <c r="A16" s="11">
        <v>46034</v>
      </c>
      <c r="B16" s="4">
        <v>38</v>
      </c>
      <c r="C16" s="13">
        <v>54</v>
      </c>
      <c r="D16" s="5">
        <v>216</v>
      </c>
      <c r="E16" s="5"/>
      <c r="F16" s="5">
        <f t="shared" si="4"/>
        <v>15.200000000000001</v>
      </c>
      <c r="G16" s="5">
        <v>25.71</v>
      </c>
      <c r="H16" s="5"/>
      <c r="I16" s="5"/>
      <c r="J16" s="5">
        <f t="shared" si="0"/>
        <v>231.2</v>
      </c>
      <c r="K16" s="5">
        <f t="shared" si="1"/>
        <v>25.71</v>
      </c>
      <c r="L16" s="5">
        <f t="shared" si="5"/>
        <v>205.48999999999998</v>
      </c>
      <c r="M16" s="5">
        <f t="shared" si="6"/>
        <v>4.2814814814814817</v>
      </c>
      <c r="N16" s="5">
        <f t="shared" si="2"/>
        <v>0.47611111111111115</v>
      </c>
      <c r="O16" s="5" t="str">
        <f t="shared" si="3"/>
        <v>OK</v>
      </c>
    </row>
    <row r="17" spans="1:15">
      <c r="A17" s="11">
        <v>46035</v>
      </c>
      <c r="B17" s="4"/>
      <c r="C17" s="13"/>
      <c r="D17" s="5"/>
      <c r="E17" s="5"/>
      <c r="F17" s="5">
        <f t="shared" si="4"/>
        <v>0</v>
      </c>
      <c r="G17" s="5"/>
      <c r="H17" s="5"/>
      <c r="I17" s="5"/>
      <c r="J17" s="5">
        <f t="shared" si="0"/>
        <v>0</v>
      </c>
      <c r="K17" s="5">
        <f t="shared" si="1"/>
        <v>0</v>
      </c>
      <c r="L17" s="5">
        <f t="shared" si="5"/>
        <v>0</v>
      </c>
      <c r="M17" s="5">
        <f>IFERROR(J17/C17,0)</f>
        <v>0</v>
      </c>
      <c r="N17" s="5">
        <f t="shared" si="2"/>
        <v>0</v>
      </c>
      <c r="O17" s="5" t="str">
        <f t="shared" si="3"/>
        <v/>
      </c>
    </row>
    <row r="18" spans="1:15">
      <c r="A18" s="11">
        <v>46036</v>
      </c>
      <c r="B18" s="4">
        <v>45</v>
      </c>
      <c r="C18" s="13">
        <v>10</v>
      </c>
      <c r="D18" s="5">
        <v>80</v>
      </c>
      <c r="E18" s="5"/>
      <c r="F18" s="5">
        <f t="shared" si="4"/>
        <v>31.499999999999996</v>
      </c>
      <c r="G18" s="5">
        <v>25.71</v>
      </c>
      <c r="H18" s="5"/>
      <c r="I18" s="5"/>
      <c r="J18" s="5">
        <f t="shared" si="0"/>
        <v>111.5</v>
      </c>
      <c r="K18" s="5">
        <f t="shared" si="1"/>
        <v>25.71</v>
      </c>
      <c r="L18" s="5">
        <f t="shared" si="5"/>
        <v>85.789999999999992</v>
      </c>
      <c r="M18" s="5">
        <f t="shared" si="6"/>
        <v>11.15</v>
      </c>
      <c r="N18" s="5">
        <f t="shared" si="2"/>
        <v>2.5710000000000002</v>
      </c>
      <c r="O18" s="5" t="str">
        <f t="shared" si="3"/>
        <v>OK</v>
      </c>
    </row>
    <row r="19" spans="1:15">
      <c r="A19" s="11">
        <v>46037</v>
      </c>
      <c r="B19" s="4"/>
      <c r="C19" s="13"/>
      <c r="D19" s="5"/>
      <c r="E19" s="5"/>
      <c r="F19" s="5">
        <f t="shared" si="4"/>
        <v>0</v>
      </c>
      <c r="G19" s="5"/>
      <c r="H19" s="5"/>
      <c r="I19" s="5"/>
      <c r="J19" s="5">
        <f t="shared" si="0"/>
        <v>0</v>
      </c>
      <c r="K19" s="5">
        <f t="shared" si="1"/>
        <v>0</v>
      </c>
      <c r="L19" s="5">
        <f t="shared" si="5"/>
        <v>0</v>
      </c>
      <c r="M19" s="5">
        <f>IFERROR(J19/C19,0)</f>
        <v>0</v>
      </c>
      <c r="N19" s="5">
        <f t="shared" si="2"/>
        <v>0</v>
      </c>
      <c r="O19" s="5" t="str">
        <f t="shared" si="3"/>
        <v/>
      </c>
    </row>
    <row r="20" spans="1:15">
      <c r="A20" s="11">
        <v>46038</v>
      </c>
      <c r="B20" s="4">
        <v>21</v>
      </c>
      <c r="C20" s="13">
        <v>21</v>
      </c>
      <c r="D20" s="5">
        <v>84</v>
      </c>
      <c r="E20" s="5"/>
      <c r="F20" s="5">
        <f t="shared" si="4"/>
        <v>8.4</v>
      </c>
      <c r="G20" s="5">
        <v>25.71</v>
      </c>
      <c r="H20" s="5">
        <v>95</v>
      </c>
      <c r="I20" s="5"/>
      <c r="J20" s="5">
        <f t="shared" si="0"/>
        <v>92.4</v>
      </c>
      <c r="K20" s="5">
        <f t="shared" si="1"/>
        <v>120.71000000000001</v>
      </c>
      <c r="L20" s="5">
        <f t="shared" si="5"/>
        <v>-28.310000000000002</v>
      </c>
      <c r="M20" s="5">
        <f t="shared" si="6"/>
        <v>4.4000000000000004</v>
      </c>
      <c r="N20" s="5">
        <f t="shared" si="2"/>
        <v>5.7480952380952388</v>
      </c>
      <c r="O20" s="5" t="str">
        <f t="shared" si="3"/>
        <v>OK</v>
      </c>
    </row>
    <row r="21" spans="1:15">
      <c r="A21" s="11">
        <v>46039</v>
      </c>
      <c r="B21" s="4"/>
      <c r="C21" s="13"/>
      <c r="D21" s="5"/>
      <c r="E21" s="5"/>
      <c r="F21" s="5">
        <f t="shared" si="4"/>
        <v>0</v>
      </c>
      <c r="G21" s="5"/>
      <c r="H21" s="5"/>
      <c r="I21" s="5"/>
      <c r="J21" s="5">
        <f t="shared" si="0"/>
        <v>0</v>
      </c>
      <c r="K21" s="5">
        <f t="shared" si="1"/>
        <v>0</v>
      </c>
      <c r="L21" s="5">
        <f t="shared" si="5"/>
        <v>0</v>
      </c>
      <c r="M21" s="5">
        <f>IFERROR(J21/C21,0)</f>
        <v>0</v>
      </c>
      <c r="N21" s="5">
        <f t="shared" si="2"/>
        <v>0</v>
      </c>
      <c r="O21" s="5" t="str">
        <f t="shared" si="3"/>
        <v/>
      </c>
    </row>
    <row r="22" spans="1:15">
      <c r="A22" s="11">
        <v>46040</v>
      </c>
      <c r="B22" s="4"/>
      <c r="C22" s="13"/>
      <c r="D22" s="5"/>
      <c r="E22" s="5"/>
      <c r="F22" s="5">
        <f t="shared" si="4"/>
        <v>0</v>
      </c>
      <c r="G22" s="5"/>
      <c r="H22" s="5"/>
      <c r="I22" s="5"/>
      <c r="J22" s="5">
        <f t="shared" si="0"/>
        <v>0</v>
      </c>
      <c r="K22" s="5">
        <f t="shared" si="1"/>
        <v>0</v>
      </c>
      <c r="L22" s="5">
        <f t="shared" si="5"/>
        <v>0</v>
      </c>
      <c r="M22" s="5">
        <f>IFERROR(J22/C22,0)</f>
        <v>0</v>
      </c>
      <c r="N22" s="5">
        <f t="shared" si="2"/>
        <v>0</v>
      </c>
      <c r="O22" s="5" t="str">
        <f t="shared" si="3"/>
        <v/>
      </c>
    </row>
    <row r="23" spans="1:15">
      <c r="A23" s="11">
        <v>46041</v>
      </c>
      <c r="B23" s="4">
        <v>31</v>
      </c>
      <c r="C23" s="13">
        <v>5</v>
      </c>
      <c r="D23" s="5">
        <v>80</v>
      </c>
      <c r="E23" s="5"/>
      <c r="F23" s="5">
        <f>IF(B23&gt;60,B23*1,IF(B23&gt;=40,B23*0.7,B23*0.4))</f>
        <v>12.4</v>
      </c>
      <c r="G23" s="5">
        <v>25.71</v>
      </c>
      <c r="H23" s="5"/>
      <c r="I23" s="5"/>
      <c r="J23" s="5">
        <f t="shared" si="0"/>
        <v>92.4</v>
      </c>
      <c r="K23" s="5">
        <f t="shared" si="1"/>
        <v>25.71</v>
      </c>
      <c r="L23" s="5">
        <f t="shared" si="5"/>
        <v>66.69</v>
      </c>
      <c r="M23" s="5">
        <f t="shared" si="6"/>
        <v>18.48</v>
      </c>
      <c r="N23" s="5">
        <f t="shared" si="2"/>
        <v>5.1420000000000003</v>
      </c>
      <c r="O23" s="5" t="str">
        <f t="shared" si="3"/>
        <v>OK</v>
      </c>
    </row>
    <row r="24" spans="1:15">
      <c r="A24" s="11">
        <v>46042</v>
      </c>
      <c r="B24" s="4"/>
      <c r="C24" s="13"/>
      <c r="D24" s="5"/>
      <c r="E24" s="5"/>
      <c r="F24" s="5">
        <f t="shared" si="4"/>
        <v>0</v>
      </c>
      <c r="G24" s="5"/>
      <c r="H24" s="5"/>
      <c r="I24" s="5"/>
      <c r="J24" s="5">
        <f t="shared" si="0"/>
        <v>0</v>
      </c>
      <c r="K24" s="5">
        <f t="shared" si="1"/>
        <v>0</v>
      </c>
      <c r="L24" s="5">
        <f t="shared" si="5"/>
        <v>0</v>
      </c>
      <c r="M24" s="5">
        <f>IFERROR(J24/C24,0)</f>
        <v>0</v>
      </c>
      <c r="N24" s="5">
        <f t="shared" si="2"/>
        <v>0</v>
      </c>
      <c r="O24" s="5" t="str">
        <f t="shared" si="3"/>
        <v/>
      </c>
    </row>
    <row r="25" spans="1:15">
      <c r="A25" s="11">
        <v>46043</v>
      </c>
      <c r="B25" s="4">
        <v>55</v>
      </c>
      <c r="C25" s="13">
        <v>78</v>
      </c>
      <c r="D25" s="5">
        <v>312</v>
      </c>
      <c r="E25" s="5"/>
      <c r="F25" s="5">
        <f t="shared" si="4"/>
        <v>38.5</v>
      </c>
      <c r="G25" s="5">
        <v>25.71</v>
      </c>
      <c r="H25" s="5"/>
      <c r="I25" s="5"/>
      <c r="J25" s="5">
        <f t="shared" si="0"/>
        <v>350.5</v>
      </c>
      <c r="K25" s="5">
        <f t="shared" si="1"/>
        <v>25.71</v>
      </c>
      <c r="L25" s="5">
        <f t="shared" si="5"/>
        <v>324.79000000000002</v>
      </c>
      <c r="M25" s="5">
        <f t="shared" si="6"/>
        <v>4.4935897435897436</v>
      </c>
      <c r="N25" s="5">
        <f t="shared" si="2"/>
        <v>0.32961538461538464</v>
      </c>
      <c r="O25" s="5" t="str">
        <f t="shared" si="3"/>
        <v>OK</v>
      </c>
    </row>
    <row r="26" spans="1:15">
      <c r="A26" s="11">
        <v>46044</v>
      </c>
      <c r="B26" s="4">
        <v>48</v>
      </c>
      <c r="C26" s="13">
        <v>42</v>
      </c>
      <c r="D26" s="5">
        <v>172</v>
      </c>
      <c r="E26" s="5"/>
      <c r="F26" s="5">
        <f t="shared" si="4"/>
        <v>33.599999999999994</v>
      </c>
      <c r="G26" s="5">
        <v>25.71</v>
      </c>
      <c r="H26" s="5"/>
      <c r="I26" s="5"/>
      <c r="J26" s="5">
        <f t="shared" si="0"/>
        <v>205.6</v>
      </c>
      <c r="K26" s="5">
        <f t="shared" si="1"/>
        <v>25.71</v>
      </c>
      <c r="L26" s="5">
        <f t="shared" si="5"/>
        <v>179.89</v>
      </c>
      <c r="M26" s="5">
        <f t="shared" si="6"/>
        <v>4.8952380952380947</v>
      </c>
      <c r="N26" s="5">
        <f t="shared" si="2"/>
        <v>0.61214285714285721</v>
      </c>
      <c r="O26" s="5" t="str">
        <f t="shared" si="3"/>
        <v>OK</v>
      </c>
    </row>
    <row r="27" spans="1:15">
      <c r="A27" s="11">
        <v>46045</v>
      </c>
      <c r="B27" s="4">
        <v>15</v>
      </c>
      <c r="C27" s="13">
        <v>2</v>
      </c>
      <c r="D27" s="5">
        <v>80</v>
      </c>
      <c r="E27" s="5">
        <v>70</v>
      </c>
      <c r="F27" s="5">
        <f t="shared" si="4"/>
        <v>6</v>
      </c>
      <c r="G27" s="5">
        <v>25.71</v>
      </c>
      <c r="H27" s="5"/>
      <c r="I27" s="5"/>
      <c r="J27" s="5">
        <f t="shared" si="0"/>
        <v>156</v>
      </c>
      <c r="K27" s="5">
        <f t="shared" si="1"/>
        <v>25.71</v>
      </c>
      <c r="L27" s="5">
        <f t="shared" si="5"/>
        <v>130.29</v>
      </c>
      <c r="M27" s="5">
        <f t="shared" si="6"/>
        <v>78</v>
      </c>
      <c r="N27" s="5">
        <f t="shared" si="2"/>
        <v>12.855</v>
      </c>
      <c r="O27" s="5" t="str">
        <f t="shared" si="3"/>
        <v>OK</v>
      </c>
    </row>
    <row r="28" spans="1:15">
      <c r="A28" s="11">
        <v>46046</v>
      </c>
      <c r="B28" s="4"/>
      <c r="C28" s="13"/>
      <c r="D28" s="5"/>
      <c r="E28" s="5"/>
      <c r="F28" s="5">
        <f t="shared" si="4"/>
        <v>0</v>
      </c>
      <c r="G28" s="5"/>
      <c r="H28" s="5"/>
      <c r="I28" s="5"/>
      <c r="J28" s="5">
        <f t="shared" si="0"/>
        <v>0</v>
      </c>
      <c r="K28" s="5">
        <f t="shared" si="1"/>
        <v>0</v>
      </c>
      <c r="L28" s="5">
        <f t="shared" si="5"/>
        <v>0</v>
      </c>
      <c r="M28" s="5">
        <f>IFERROR(J28/C28,0)</f>
        <v>0</v>
      </c>
      <c r="N28" s="5">
        <f t="shared" si="2"/>
        <v>0</v>
      </c>
      <c r="O28" s="5" t="str">
        <f t="shared" si="3"/>
        <v/>
      </c>
    </row>
    <row r="29" spans="1:15">
      <c r="A29" s="11">
        <v>46047</v>
      </c>
      <c r="B29" s="4"/>
      <c r="C29" s="13"/>
      <c r="D29" s="5"/>
      <c r="E29" s="5"/>
      <c r="F29" s="5">
        <f t="shared" si="4"/>
        <v>0</v>
      </c>
      <c r="G29" s="5"/>
      <c r="H29" s="5"/>
      <c r="I29" s="5"/>
      <c r="J29" s="5">
        <f t="shared" si="0"/>
        <v>0</v>
      </c>
      <c r="K29" s="5">
        <f t="shared" si="1"/>
        <v>0</v>
      </c>
      <c r="L29" s="5">
        <f t="shared" si="5"/>
        <v>0</v>
      </c>
      <c r="M29" s="5">
        <f>IFERROR(J29/C29,0)</f>
        <v>0</v>
      </c>
      <c r="N29" s="5">
        <f t="shared" si="2"/>
        <v>0</v>
      </c>
      <c r="O29" s="5" t="str">
        <f t="shared" si="3"/>
        <v/>
      </c>
    </row>
    <row r="30" spans="1:15">
      <c r="A30" s="11">
        <v>46048</v>
      </c>
      <c r="B30" s="4">
        <v>36</v>
      </c>
      <c r="C30" s="13">
        <v>63</v>
      </c>
      <c r="D30" s="5">
        <v>252</v>
      </c>
      <c r="E30" s="5"/>
      <c r="F30" s="5">
        <f t="shared" si="4"/>
        <v>14.4</v>
      </c>
      <c r="G30" s="5">
        <v>25.71</v>
      </c>
      <c r="H30" s="5"/>
      <c r="I30" s="5"/>
      <c r="J30" s="5">
        <f t="shared" si="0"/>
        <v>266.39999999999998</v>
      </c>
      <c r="K30" s="5">
        <f t="shared" si="1"/>
        <v>25.71</v>
      </c>
      <c r="L30" s="5">
        <f t="shared" si="5"/>
        <v>240.68999999999997</v>
      </c>
      <c r="M30" s="5">
        <f t="shared" si="6"/>
        <v>4.2285714285714286</v>
      </c>
      <c r="N30" s="5">
        <f t="shared" si="2"/>
        <v>0.40809523809523812</v>
      </c>
      <c r="O30" s="5" t="str">
        <f t="shared" si="3"/>
        <v>OK</v>
      </c>
    </row>
    <row r="31" spans="1:15">
      <c r="A31" s="11">
        <v>46049</v>
      </c>
      <c r="B31" s="4">
        <v>72</v>
      </c>
      <c r="C31" s="13">
        <v>98</v>
      </c>
      <c r="D31" s="5">
        <v>392</v>
      </c>
      <c r="E31" s="5"/>
      <c r="F31" s="5">
        <f t="shared" si="4"/>
        <v>72</v>
      </c>
      <c r="G31" s="5">
        <v>25.71</v>
      </c>
      <c r="H31" s="5"/>
      <c r="I31" s="5">
        <v>2.7</v>
      </c>
      <c r="J31" s="5">
        <f t="shared" si="0"/>
        <v>466.7</v>
      </c>
      <c r="K31" s="5">
        <f t="shared" si="1"/>
        <v>28.41</v>
      </c>
      <c r="L31" s="5">
        <f t="shared" si="5"/>
        <v>438.28999999999996</v>
      </c>
      <c r="M31" s="5">
        <f t="shared" si="6"/>
        <v>4.7622448979591834</v>
      </c>
      <c r="N31" s="5">
        <f t="shared" si="2"/>
        <v>0.28989795918367345</v>
      </c>
      <c r="O31" s="5" t="str">
        <f t="shared" si="3"/>
        <v>OK</v>
      </c>
    </row>
    <row r="32" spans="1:15">
      <c r="A32" s="11">
        <v>46050</v>
      </c>
      <c r="B32" s="4">
        <v>81</v>
      </c>
      <c r="C32" s="13">
        <v>82</v>
      </c>
      <c r="D32" s="5">
        <v>328</v>
      </c>
      <c r="E32" s="5"/>
      <c r="F32" s="5">
        <f t="shared" si="4"/>
        <v>81</v>
      </c>
      <c r="G32" s="5">
        <v>25.71</v>
      </c>
      <c r="H32" s="5"/>
      <c r="I32" s="5"/>
      <c r="J32" s="5">
        <f t="shared" si="0"/>
        <v>409</v>
      </c>
      <c r="K32" s="5">
        <f t="shared" si="1"/>
        <v>25.71</v>
      </c>
      <c r="L32" s="5">
        <f t="shared" si="5"/>
        <v>383.29</v>
      </c>
      <c r="M32" s="5">
        <f t="shared" si="6"/>
        <v>4.9878048780487809</v>
      </c>
      <c r="N32" s="5">
        <f t="shared" si="2"/>
        <v>0.31353658536585366</v>
      </c>
      <c r="O32" s="5" t="str">
        <f t="shared" si="3"/>
        <v>OK</v>
      </c>
    </row>
    <row r="33" spans="1:15">
      <c r="A33" s="11">
        <v>46051</v>
      </c>
      <c r="B33" s="4">
        <v>72</v>
      </c>
      <c r="C33" s="13">
        <v>98</v>
      </c>
      <c r="D33" s="5">
        <v>392</v>
      </c>
      <c r="E33" s="5"/>
      <c r="F33" s="5">
        <f t="shared" si="4"/>
        <v>72</v>
      </c>
      <c r="G33" s="5">
        <v>25.71</v>
      </c>
      <c r="H33" s="5"/>
      <c r="I33" s="5">
        <v>2.7</v>
      </c>
      <c r="J33" s="5">
        <f t="shared" si="0"/>
        <v>466.7</v>
      </c>
      <c r="K33" s="5">
        <f t="shared" si="1"/>
        <v>28.41</v>
      </c>
      <c r="L33" s="5">
        <f t="shared" si="5"/>
        <v>438.28999999999996</v>
      </c>
      <c r="M33" s="5">
        <f t="shared" si="6"/>
        <v>4.7622448979591834</v>
      </c>
      <c r="N33" s="5">
        <f t="shared" si="2"/>
        <v>0.28989795918367345</v>
      </c>
      <c r="O33" s="16" t="str">
        <f t="shared" si="3"/>
        <v>OK</v>
      </c>
    </row>
  </sheetData>
  <dataValidations count="1">
    <dataValidation allowBlank="1" showInputMessage="1" showErrorMessage="1" sqref="A1:XFD1048576" xr:uid="{B2DE766F-D779-4675-87B7-CEC20D02D58F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1F24-2BBE-4AEE-A8DD-59C4A0600E97}">
  <dimension ref="A1:E372"/>
  <sheetViews>
    <sheetView topLeftCell="A40" workbookViewId="0">
      <selection activeCell="A45" sqref="A45"/>
    </sheetView>
  </sheetViews>
  <sheetFormatPr defaultRowHeight="15"/>
  <cols>
    <col min="1" max="1" width="37.7109375" style="25" customWidth="1"/>
    <col min="2" max="2" width="36.5703125" style="25" bestFit="1" customWidth="1"/>
    <col min="3" max="3" width="11.7109375" customWidth="1"/>
    <col min="4" max="4" width="42" customWidth="1"/>
    <col min="5" max="5" width="13.140625" customWidth="1"/>
  </cols>
  <sheetData>
    <row r="1" spans="1:5" s="24" customFormat="1" ht="21">
      <c r="A1" s="52" t="s">
        <v>15</v>
      </c>
      <c r="B1" s="53"/>
      <c r="D1" s="52" t="s">
        <v>16</v>
      </c>
      <c r="E1" s="53"/>
    </row>
    <row r="2" spans="1:5" ht="26.25" customHeight="1">
      <c r="A2" s="30" t="s">
        <v>17</v>
      </c>
      <c r="B2" s="30" t="s">
        <v>18</v>
      </c>
      <c r="D2" s="28" t="s">
        <v>17</v>
      </c>
      <c r="E2" s="29" t="s">
        <v>18</v>
      </c>
    </row>
    <row r="3" spans="1:5" ht="21" customHeight="1">
      <c r="A3" s="23" t="s">
        <v>19</v>
      </c>
      <c r="B3" s="18">
        <f>SUM(BASE_DEDADOS!J:J)</f>
        <v>5080.8999999999996</v>
      </c>
      <c r="D3" s="26" t="s">
        <v>20</v>
      </c>
      <c r="E3" s="5">
        <f>SUM(BASE_DEDADOS!J2:J33)</f>
        <v>5080.8999999999996</v>
      </c>
    </row>
    <row r="4" spans="1:5" ht="22.5" customHeight="1">
      <c r="A4" s="23" t="s">
        <v>21</v>
      </c>
      <c r="B4" s="18">
        <f>SUM(BASE_DEDADOS!K:K)</f>
        <v>683.89</v>
      </c>
      <c r="D4" s="27" t="s">
        <v>22</v>
      </c>
      <c r="E4" s="5">
        <f>SUM(BASE_DEDADOS!K:K)</f>
        <v>683.89</v>
      </c>
    </row>
    <row r="5" spans="1:5" ht="20.25" customHeight="1">
      <c r="A5" s="23" t="s">
        <v>23</v>
      </c>
      <c r="B5" s="18">
        <f>SUM(BASE_DEDADOS!L:L)</f>
        <v>4397.0099999999993</v>
      </c>
      <c r="D5" s="27" t="s">
        <v>24</v>
      </c>
      <c r="E5" s="5">
        <f>SUM(BASE_DEDADOS!L:L)</f>
        <v>4397.0099999999993</v>
      </c>
    </row>
    <row r="6" spans="1:5" ht="22.5" customHeight="1">
      <c r="A6" s="23" t="s">
        <v>25</v>
      </c>
      <c r="B6" s="19">
        <f>SUM(BASE_DEDADOS!C:C)</f>
        <v>1010</v>
      </c>
      <c r="D6" s="27" t="s">
        <v>26</v>
      </c>
      <c r="E6" s="5">
        <v>80</v>
      </c>
    </row>
    <row r="7" spans="1:5" ht="21.75" customHeight="1">
      <c r="A7" s="21" t="s">
        <v>27</v>
      </c>
      <c r="B7" s="18">
        <f>B3/B6</f>
        <v>5.0305940594059404</v>
      </c>
      <c r="D7" s="26" t="s">
        <v>28</v>
      </c>
      <c r="E7" s="5">
        <v>705</v>
      </c>
    </row>
    <row r="8" spans="1:5" ht="21.75" customHeight="1">
      <c r="A8" s="20" t="s">
        <v>29</v>
      </c>
      <c r="B8" s="18">
        <f>B4/B6</f>
        <v>0.67711881188118805</v>
      </c>
      <c r="D8" s="27" t="s">
        <v>30</v>
      </c>
      <c r="E8" s="5">
        <f>E5-E6-E7</f>
        <v>3612.0099999999993</v>
      </c>
    </row>
    <row r="9" spans="1:5" ht="21.75" customHeight="1">
      <c r="A9" s="34" t="s">
        <v>31</v>
      </c>
      <c r="B9" s="35">
        <f>B5/B6</f>
        <v>4.3534752475247522</v>
      </c>
    </row>
    <row r="10" spans="1:5">
      <c r="A10" s="33"/>
      <c r="B10" s="31"/>
    </row>
    <row r="11" spans="1:5" ht="21">
      <c r="A11" s="54" t="s">
        <v>32</v>
      </c>
      <c r="B11" s="55"/>
      <c r="C11" s="56"/>
    </row>
    <row r="12" spans="1:5" ht="21">
      <c r="A12" s="37" t="s">
        <v>17</v>
      </c>
      <c r="B12" s="37" t="s">
        <v>18</v>
      </c>
      <c r="C12" s="38" t="s">
        <v>33</v>
      </c>
    </row>
    <row r="13" spans="1:5" ht="18.75">
      <c r="A13" s="27" t="s">
        <v>34</v>
      </c>
      <c r="B13" s="39">
        <f>SUM(Tabela1[[#All],[Receita_bruta_total]])</f>
        <v>5080.8999999999996</v>
      </c>
      <c r="C13" s="44">
        <f>B13/B13</f>
        <v>1</v>
      </c>
      <c r="E13" s="36"/>
    </row>
    <row r="14" spans="1:5" ht="18.75">
      <c r="A14" s="27" t="s">
        <v>35</v>
      </c>
      <c r="B14" s="39">
        <f>SUM(BASE_DEDADOS!K:K)</f>
        <v>683.89</v>
      </c>
      <c r="C14" s="44">
        <f>B14/B13</f>
        <v>0.13460016926135135</v>
      </c>
    </row>
    <row r="15" spans="1:5" ht="18.75">
      <c r="A15" s="27" t="s">
        <v>36</v>
      </c>
      <c r="B15" s="39">
        <f>SUM(Tabela1[[#All],[Lucro_operacional]])</f>
        <v>4397.0099999999993</v>
      </c>
      <c r="C15" s="44">
        <f>B15/B13</f>
        <v>0.86539983073864857</v>
      </c>
    </row>
    <row r="16" spans="1:5" ht="18.75">
      <c r="A16" s="27" t="s">
        <v>37</v>
      </c>
      <c r="B16" s="39">
        <v>80</v>
      </c>
      <c r="C16" s="44">
        <f>B16/B13</f>
        <v>1.5745241984687752E-2</v>
      </c>
    </row>
    <row r="17" spans="1:3" ht="18.75">
      <c r="A17" s="27" t="s">
        <v>38</v>
      </c>
      <c r="B17" s="39">
        <v>705</v>
      </c>
      <c r="C17" s="44">
        <f>B17/B13</f>
        <v>0.13875494499006083</v>
      </c>
    </row>
    <row r="18" spans="1:3" ht="18.75">
      <c r="A18" s="27" t="s">
        <v>39</v>
      </c>
      <c r="B18" s="39">
        <f>B13-B14-B16-B17</f>
        <v>3612.0099999999993</v>
      </c>
      <c r="C18" s="44">
        <f>B18/B13</f>
        <v>0.71089964376390002</v>
      </c>
    </row>
    <row r="19" spans="1:3" ht="24.75" customHeight="1">
      <c r="A19" s="31"/>
      <c r="B19" s="31"/>
    </row>
    <row r="20" spans="1:3" ht="24" customHeight="1">
      <c r="A20" s="57" t="s">
        <v>40</v>
      </c>
      <c r="B20" s="58"/>
      <c r="C20" s="59"/>
    </row>
    <row r="21" spans="1:3" ht="18.75">
      <c r="A21" s="40" t="s">
        <v>17</v>
      </c>
      <c r="B21" s="40" t="s">
        <v>18</v>
      </c>
      <c r="C21" s="41" t="s">
        <v>33</v>
      </c>
    </row>
    <row r="22" spans="1:3" ht="18.75">
      <c r="A22" s="27" t="s">
        <v>6</v>
      </c>
      <c r="B22" s="5">
        <f>SUM(Tabela1[[#All],[Combustível]])</f>
        <v>488.48999999999984</v>
      </c>
      <c r="C22" s="42">
        <f>B22/B25</f>
        <v>0.7142815365044084</v>
      </c>
    </row>
    <row r="23" spans="1:3" ht="18.75">
      <c r="A23" s="27" t="s">
        <v>7</v>
      </c>
      <c r="B23" s="5">
        <f>SUM(Tabela1[[#All],[Manutenção]])</f>
        <v>190</v>
      </c>
      <c r="C23" s="42">
        <f>B23/B25</f>
        <v>0.27782245682785245</v>
      </c>
    </row>
    <row r="24" spans="1:3" ht="18.75">
      <c r="A24" s="27" t="s">
        <v>8</v>
      </c>
      <c r="B24" s="5">
        <f>SUM(Tabela1[[#All],[Pedagio]])</f>
        <v>5.4</v>
      </c>
      <c r="C24" s="42">
        <f>B24/B25</f>
        <v>7.8960066677389654E-3</v>
      </c>
    </row>
    <row r="25" spans="1:3" ht="18.75">
      <c r="A25" s="27" t="s">
        <v>41</v>
      </c>
      <c r="B25" s="5">
        <f>SUM(Tabela1[[#All],[Despesa_operacional]])</f>
        <v>683.89</v>
      </c>
      <c r="C25" s="42">
        <f>B25/B25</f>
        <v>1</v>
      </c>
    </row>
    <row r="26" spans="1:3">
      <c r="A26" s="31"/>
      <c r="B26" s="31"/>
    </row>
    <row r="27" spans="1:3" ht="21">
      <c r="A27" s="51" t="s">
        <v>42</v>
      </c>
      <c r="B27" s="51"/>
    </row>
    <row r="28" spans="1:3" ht="18.75">
      <c r="A28" s="43" t="s">
        <v>17</v>
      </c>
      <c r="B28" s="43" t="s">
        <v>18</v>
      </c>
    </row>
    <row r="29" spans="1:3" ht="18.75">
      <c r="A29" s="27" t="s">
        <v>43</v>
      </c>
      <c r="B29" s="25">
        <f>SUM(Tabela1[km_rodado])</f>
        <v>871</v>
      </c>
    </row>
    <row r="30" spans="1:3" ht="18.75">
      <c r="A30" s="27" t="s">
        <v>44</v>
      </c>
      <c r="B30" s="5">
        <f>E3/B29</f>
        <v>5.8334098737083808</v>
      </c>
    </row>
    <row r="31" spans="1:3" ht="18.75">
      <c r="A31" s="27" t="s">
        <v>45</v>
      </c>
      <c r="B31" s="5">
        <f>E4/B29</f>
        <v>0.78517795637198617</v>
      </c>
    </row>
    <row r="32" spans="1:3" ht="18.75">
      <c r="A32" s="27" t="s">
        <v>46</v>
      </c>
      <c r="B32" s="5">
        <f>E5/B29</f>
        <v>5.0482319173363939</v>
      </c>
    </row>
    <row r="33" spans="1:3" ht="18.75">
      <c r="A33" s="27" t="s">
        <v>47</v>
      </c>
      <c r="B33" s="42">
        <f>B32/B30</f>
        <v>0.86539983073864857</v>
      </c>
    </row>
    <row r="34" spans="1:3">
      <c r="A34" s="31"/>
      <c r="B34" s="31"/>
    </row>
    <row r="35" spans="1:3" ht="21">
      <c r="A35" s="51" t="s">
        <v>48</v>
      </c>
      <c r="B35" s="51"/>
      <c r="C35" s="51"/>
    </row>
    <row r="36" spans="1:3" ht="18.75">
      <c r="A36" s="47" t="s">
        <v>49</v>
      </c>
      <c r="B36" s="47" t="s">
        <v>18</v>
      </c>
      <c r="C36" s="47" t="s">
        <v>33</v>
      </c>
    </row>
    <row r="37" spans="1:3" ht="18.75">
      <c r="A37" s="27" t="s">
        <v>50</v>
      </c>
      <c r="B37" s="5">
        <f>SUM(Tabela1[Receita])</f>
        <v>4191.5</v>
      </c>
      <c r="C37" s="42">
        <f>B37/E3</f>
        <v>0.82495227223523393</v>
      </c>
    </row>
    <row r="38" spans="1:3" ht="18.75">
      <c r="A38" s="27" t="s">
        <v>51</v>
      </c>
      <c r="B38" s="5">
        <f>SUM(Tabela1[Incentivo])</f>
        <v>280</v>
      </c>
      <c r="C38" s="42">
        <f>B38/E3</f>
        <v>5.5108346946407136E-2</v>
      </c>
    </row>
    <row r="39" spans="1:3" ht="18.75">
      <c r="A39" s="27" t="s">
        <v>52</v>
      </c>
      <c r="B39" s="5">
        <f>SUM(Tabela1[Vale_gasolina])</f>
        <v>603.99999999999989</v>
      </c>
      <c r="C39" s="42">
        <f>B39/E3</f>
        <v>0.11887657698439251</v>
      </c>
    </row>
    <row r="40" spans="1:3" ht="18.75">
      <c r="A40" s="27" t="s">
        <v>53</v>
      </c>
      <c r="B40" s="5">
        <f>SUM(Tabela1[Pedagio])</f>
        <v>5.4</v>
      </c>
      <c r="C40" s="42">
        <f>B40/E3</f>
        <v>1.0628038339664234E-3</v>
      </c>
    </row>
    <row r="41" spans="1:3" ht="18.75">
      <c r="A41" s="27" t="s">
        <v>34</v>
      </c>
      <c r="B41" s="5">
        <f>SUM(B37:B38:B39:B40)</f>
        <v>5080.8999999999996</v>
      </c>
      <c r="C41" s="42">
        <f>B41/B41</f>
        <v>1</v>
      </c>
    </row>
    <row r="42" spans="1:3" ht="29.25" customHeight="1">
      <c r="A42" s="31"/>
      <c r="B42" s="31"/>
    </row>
    <row r="43" spans="1:3" ht="21">
      <c r="A43" s="51" t="s">
        <v>54</v>
      </c>
      <c r="B43" s="51"/>
    </row>
    <row r="44" spans="1:3" ht="18.75">
      <c r="A44" s="47" t="s">
        <v>49</v>
      </c>
      <c r="B44" s="47" t="s">
        <v>18</v>
      </c>
    </row>
    <row r="45" spans="1:3" ht="19.5" customHeight="1">
      <c r="A45" s="25" t="s">
        <v>55</v>
      </c>
      <c r="B45" s="49">
        <f>INDEX(BASE_DEDADOS!A2:A33,MATCH(MAX(BASE_DEDADOS!M2:M33),BASE_DEDADOS!M2:M33,0))</f>
        <v>46045</v>
      </c>
    </row>
    <row r="46" spans="1:3" ht="20.25" customHeight="1">
      <c r="A46" s="25" t="s">
        <v>56</v>
      </c>
      <c r="B46" s="5">
        <f>MAX(BASE_DEDADOS!M2:M33)</f>
        <v>78</v>
      </c>
    </row>
    <row r="47" spans="1:3" ht="20.25" customHeight="1">
      <c r="A47" s="25" t="s">
        <v>57</v>
      </c>
      <c r="B47" s="49">
        <f>INDEX(BASE_DEDADOS!A2:A33,MATCH(_xlfn.MINIFS(BASE_DEDADOS!M2:M33,BASE_DEDADOS!M2:M33,"&gt;0"),BASE_DEDADOS!M2:M33,0))</f>
        <v>46029</v>
      </c>
    </row>
    <row r="48" spans="1:3" ht="21" customHeight="1">
      <c r="A48" s="25" t="s">
        <v>58</v>
      </c>
      <c r="B48" s="50">
        <f>_xlfn.MINIFS(BASE_DEDADOS!M2:M33,BASE_DEDADOS!M2:M33,"&gt;0")</f>
        <v>2.6292929292929292</v>
      </c>
    </row>
    <row r="49" spans="1:2">
      <c r="A49" s="31"/>
      <c r="B49" s="31"/>
    </row>
    <row r="50" spans="1:2">
      <c r="A50" s="31"/>
      <c r="B50" s="31"/>
    </row>
    <row r="51" spans="1:2">
      <c r="A51" s="31"/>
      <c r="B51" s="31"/>
    </row>
    <row r="52" spans="1:2">
      <c r="A52" s="31"/>
      <c r="B52" s="31"/>
    </row>
    <row r="53" spans="1:2">
      <c r="A53" s="31"/>
      <c r="B53" s="31"/>
    </row>
    <row r="54" spans="1:2">
      <c r="A54" s="31"/>
      <c r="B54" s="31"/>
    </row>
    <row r="55" spans="1:2">
      <c r="A55" s="31"/>
      <c r="B55" s="31"/>
    </row>
    <row r="56" spans="1:2">
      <c r="A56" s="31"/>
      <c r="B56" s="31"/>
    </row>
    <row r="57" spans="1:2">
      <c r="A57" s="31"/>
      <c r="B57" s="31"/>
    </row>
    <row r="58" spans="1:2">
      <c r="A58" s="31"/>
      <c r="B58" s="31"/>
    </row>
    <row r="59" spans="1:2">
      <c r="A59" s="31"/>
      <c r="B59" s="31"/>
    </row>
    <row r="60" spans="1:2">
      <c r="A60" s="31"/>
      <c r="B60" s="31"/>
    </row>
    <row r="61" spans="1:2">
      <c r="A61" s="31"/>
      <c r="B61" s="31"/>
    </row>
    <row r="62" spans="1:2">
      <c r="A62" s="31"/>
      <c r="B62" s="31"/>
    </row>
    <row r="63" spans="1:2">
      <c r="A63" s="31"/>
      <c r="B63" s="31"/>
    </row>
    <row r="64" spans="1:2">
      <c r="A64" s="31"/>
      <c r="B64" s="31"/>
    </row>
    <row r="65" spans="1:2">
      <c r="A65" s="31"/>
      <c r="B65" s="31"/>
    </row>
    <row r="66" spans="1:2">
      <c r="A66" s="31"/>
      <c r="B66" s="31"/>
    </row>
    <row r="67" spans="1:2">
      <c r="A67" s="31"/>
      <c r="B67" s="31"/>
    </row>
    <row r="68" spans="1:2">
      <c r="A68" s="31"/>
      <c r="B68" s="31"/>
    </row>
    <row r="69" spans="1:2">
      <c r="A69" s="31"/>
      <c r="B69" s="31"/>
    </row>
    <row r="70" spans="1:2">
      <c r="A70" s="31"/>
      <c r="B70" s="31"/>
    </row>
    <row r="71" spans="1:2">
      <c r="A71" s="31"/>
      <c r="B71" s="31"/>
    </row>
    <row r="72" spans="1:2">
      <c r="A72" s="31"/>
      <c r="B72" s="31"/>
    </row>
    <row r="73" spans="1:2">
      <c r="A73" s="31"/>
      <c r="B73" s="31"/>
    </row>
    <row r="74" spans="1:2">
      <c r="A74" s="31"/>
      <c r="B74" s="31"/>
    </row>
    <row r="75" spans="1:2">
      <c r="A75" s="31"/>
      <c r="B75" s="31"/>
    </row>
    <row r="76" spans="1:2">
      <c r="A76" s="31"/>
      <c r="B76" s="31"/>
    </row>
    <row r="77" spans="1:2">
      <c r="A77" s="31"/>
      <c r="B77" s="31"/>
    </row>
    <row r="78" spans="1:2">
      <c r="A78" s="31"/>
      <c r="B78" s="31"/>
    </row>
    <row r="79" spans="1:2">
      <c r="A79" s="31"/>
      <c r="B79" s="31"/>
    </row>
    <row r="80" spans="1:2">
      <c r="A80" s="31"/>
      <c r="B80" s="31"/>
    </row>
    <row r="81" spans="1:2">
      <c r="A81" s="31"/>
      <c r="B81" s="31"/>
    </row>
    <row r="82" spans="1:2">
      <c r="A82" s="31"/>
      <c r="B82" s="31"/>
    </row>
    <row r="83" spans="1:2">
      <c r="A83" s="31"/>
      <c r="B83" s="31"/>
    </row>
    <row r="84" spans="1:2">
      <c r="A84" s="31"/>
      <c r="B84" s="31"/>
    </row>
    <row r="85" spans="1:2">
      <c r="A85" s="31"/>
      <c r="B85" s="31"/>
    </row>
    <row r="86" spans="1:2">
      <c r="A86" s="31"/>
      <c r="B86" s="31"/>
    </row>
    <row r="87" spans="1:2">
      <c r="A87" s="31"/>
      <c r="B87" s="31"/>
    </row>
    <row r="88" spans="1:2">
      <c r="A88" s="31"/>
      <c r="B88" s="31"/>
    </row>
    <row r="89" spans="1:2">
      <c r="A89" s="31"/>
      <c r="B89" s="31"/>
    </row>
    <row r="90" spans="1:2">
      <c r="A90" s="31"/>
      <c r="B90" s="31"/>
    </row>
    <row r="91" spans="1:2">
      <c r="A91" s="31"/>
      <c r="B91" s="31"/>
    </row>
    <row r="92" spans="1:2">
      <c r="A92" s="31"/>
      <c r="B92" s="31"/>
    </row>
    <row r="93" spans="1:2">
      <c r="A93" s="31"/>
      <c r="B93" s="31"/>
    </row>
    <row r="94" spans="1:2">
      <c r="A94" s="31"/>
      <c r="B94" s="31"/>
    </row>
    <row r="95" spans="1:2">
      <c r="A95" s="31"/>
      <c r="B95" s="31"/>
    </row>
    <row r="96" spans="1:2">
      <c r="A96" s="31"/>
      <c r="B96" s="31"/>
    </row>
    <row r="97" spans="1:2">
      <c r="A97" s="31"/>
      <c r="B97" s="31"/>
    </row>
    <row r="98" spans="1:2">
      <c r="A98" s="31"/>
      <c r="B98" s="31"/>
    </row>
    <row r="99" spans="1:2">
      <c r="A99" s="31"/>
      <c r="B99" s="31"/>
    </row>
    <row r="100" spans="1:2">
      <c r="A100" s="31"/>
      <c r="B100" s="31"/>
    </row>
    <row r="101" spans="1:2">
      <c r="A101" s="31"/>
      <c r="B101" s="31"/>
    </row>
    <row r="102" spans="1:2">
      <c r="A102" s="31"/>
      <c r="B102" s="31"/>
    </row>
    <row r="103" spans="1:2">
      <c r="A103" s="31"/>
      <c r="B103" s="31"/>
    </row>
    <row r="104" spans="1:2">
      <c r="A104" s="31"/>
      <c r="B104" s="31"/>
    </row>
    <row r="105" spans="1:2">
      <c r="A105" s="31"/>
      <c r="B105" s="31"/>
    </row>
    <row r="106" spans="1:2">
      <c r="A106" s="31"/>
      <c r="B106" s="31"/>
    </row>
    <row r="107" spans="1:2">
      <c r="A107" s="31"/>
      <c r="B107" s="31"/>
    </row>
    <row r="108" spans="1:2">
      <c r="A108" s="31"/>
      <c r="B108" s="31"/>
    </row>
    <row r="109" spans="1:2">
      <c r="A109" s="31"/>
      <c r="B109" s="31"/>
    </row>
    <row r="110" spans="1:2">
      <c r="A110" s="31"/>
      <c r="B110" s="31"/>
    </row>
    <row r="111" spans="1:2">
      <c r="A111" s="31"/>
      <c r="B111" s="31"/>
    </row>
    <row r="112" spans="1:2">
      <c r="A112" s="31"/>
      <c r="B112" s="31"/>
    </row>
    <row r="113" spans="1:2">
      <c r="A113" s="31"/>
      <c r="B113" s="31"/>
    </row>
    <row r="114" spans="1:2">
      <c r="A114" s="31"/>
      <c r="B114" s="31"/>
    </row>
    <row r="115" spans="1:2">
      <c r="A115" s="31"/>
      <c r="B115" s="31"/>
    </row>
    <row r="116" spans="1:2">
      <c r="A116" s="31"/>
      <c r="B116" s="31"/>
    </row>
    <row r="117" spans="1:2">
      <c r="A117" s="31"/>
      <c r="B117" s="31"/>
    </row>
    <row r="118" spans="1:2">
      <c r="A118" s="31"/>
      <c r="B118" s="31"/>
    </row>
    <row r="119" spans="1:2">
      <c r="A119" s="31"/>
      <c r="B119" s="31"/>
    </row>
    <row r="120" spans="1:2">
      <c r="A120" s="31"/>
      <c r="B120" s="31"/>
    </row>
    <row r="121" spans="1:2">
      <c r="A121" s="31"/>
      <c r="B121" s="31"/>
    </row>
    <row r="122" spans="1:2">
      <c r="A122" s="31"/>
      <c r="B122" s="31"/>
    </row>
    <row r="123" spans="1:2">
      <c r="A123" s="31"/>
      <c r="B123" s="31"/>
    </row>
    <row r="124" spans="1:2">
      <c r="A124" s="31"/>
      <c r="B124" s="31"/>
    </row>
    <row r="125" spans="1:2">
      <c r="A125" s="31"/>
      <c r="B125" s="31"/>
    </row>
    <row r="126" spans="1:2">
      <c r="A126" s="31"/>
      <c r="B126" s="31"/>
    </row>
    <row r="127" spans="1:2">
      <c r="A127" s="31"/>
      <c r="B127" s="31"/>
    </row>
    <row r="128" spans="1:2">
      <c r="A128" s="31"/>
      <c r="B128" s="31"/>
    </row>
    <row r="129" spans="1:2">
      <c r="A129" s="31"/>
      <c r="B129" s="31"/>
    </row>
    <row r="130" spans="1:2">
      <c r="A130" s="31"/>
      <c r="B130" s="31"/>
    </row>
    <row r="131" spans="1:2">
      <c r="A131" s="31"/>
      <c r="B131" s="31"/>
    </row>
    <row r="132" spans="1:2">
      <c r="A132" s="31"/>
      <c r="B132" s="31"/>
    </row>
    <row r="133" spans="1:2">
      <c r="A133" s="31"/>
      <c r="B133" s="31"/>
    </row>
    <row r="134" spans="1:2">
      <c r="A134" s="31"/>
      <c r="B134" s="31"/>
    </row>
    <row r="135" spans="1:2">
      <c r="A135" s="31"/>
      <c r="B135" s="31"/>
    </row>
    <row r="136" spans="1:2">
      <c r="A136" s="31"/>
      <c r="B136" s="31"/>
    </row>
    <row r="137" spans="1:2">
      <c r="A137" s="31"/>
      <c r="B137" s="31"/>
    </row>
    <row r="138" spans="1:2">
      <c r="A138" s="31"/>
      <c r="B138" s="31"/>
    </row>
    <row r="139" spans="1:2">
      <c r="A139" s="31"/>
      <c r="B139" s="31"/>
    </row>
    <row r="140" spans="1:2">
      <c r="A140" s="31"/>
      <c r="B140" s="31"/>
    </row>
    <row r="141" spans="1:2">
      <c r="A141" s="31"/>
      <c r="B141" s="31"/>
    </row>
    <row r="142" spans="1:2">
      <c r="A142" s="31"/>
      <c r="B142" s="31"/>
    </row>
    <row r="143" spans="1:2">
      <c r="A143" s="31"/>
      <c r="B143" s="31"/>
    </row>
    <row r="144" spans="1:2">
      <c r="A144" s="31"/>
      <c r="B144" s="31"/>
    </row>
    <row r="145" spans="1:2">
      <c r="A145" s="31"/>
      <c r="B145" s="31"/>
    </row>
    <row r="146" spans="1:2">
      <c r="A146" s="31"/>
      <c r="B146" s="31"/>
    </row>
    <row r="147" spans="1:2">
      <c r="A147" s="31"/>
      <c r="B147" s="31"/>
    </row>
    <row r="148" spans="1:2">
      <c r="A148" s="31"/>
      <c r="B148" s="31"/>
    </row>
    <row r="149" spans="1:2">
      <c r="A149" s="31"/>
      <c r="B149" s="31"/>
    </row>
    <row r="150" spans="1:2">
      <c r="A150" s="31"/>
      <c r="B150" s="31"/>
    </row>
    <row r="151" spans="1:2">
      <c r="A151" s="31"/>
      <c r="B151" s="31"/>
    </row>
    <row r="152" spans="1:2">
      <c r="A152" s="31"/>
      <c r="B152" s="31"/>
    </row>
    <row r="153" spans="1:2">
      <c r="A153" s="31"/>
      <c r="B153" s="31"/>
    </row>
    <row r="154" spans="1:2">
      <c r="A154" s="31"/>
      <c r="B154" s="31"/>
    </row>
    <row r="155" spans="1:2">
      <c r="A155" s="31"/>
      <c r="B155" s="31"/>
    </row>
    <row r="156" spans="1:2">
      <c r="A156" s="31"/>
      <c r="B156" s="31"/>
    </row>
    <row r="157" spans="1:2">
      <c r="A157" s="31"/>
      <c r="B157" s="31"/>
    </row>
    <row r="158" spans="1:2">
      <c r="A158" s="31"/>
      <c r="B158" s="31"/>
    </row>
    <row r="159" spans="1:2">
      <c r="A159" s="31"/>
      <c r="B159" s="31"/>
    </row>
    <row r="160" spans="1:2">
      <c r="A160" s="31"/>
      <c r="B160" s="31"/>
    </row>
    <row r="161" spans="1:2">
      <c r="A161" s="31"/>
      <c r="B161" s="31"/>
    </row>
    <row r="162" spans="1:2">
      <c r="A162" s="31"/>
      <c r="B162" s="31"/>
    </row>
    <row r="163" spans="1:2">
      <c r="A163" s="31"/>
      <c r="B163" s="31"/>
    </row>
    <row r="164" spans="1:2">
      <c r="A164" s="31"/>
      <c r="B164" s="31"/>
    </row>
    <row r="165" spans="1:2">
      <c r="A165" s="31"/>
      <c r="B165" s="31"/>
    </row>
    <row r="166" spans="1:2">
      <c r="A166" s="31"/>
      <c r="B166" s="31"/>
    </row>
    <row r="167" spans="1:2">
      <c r="A167" s="31"/>
      <c r="B167" s="31"/>
    </row>
    <row r="168" spans="1:2">
      <c r="A168" s="31"/>
      <c r="B168" s="31"/>
    </row>
    <row r="169" spans="1:2">
      <c r="A169" s="31"/>
      <c r="B169" s="31"/>
    </row>
    <row r="170" spans="1:2">
      <c r="A170" s="31"/>
      <c r="B170" s="31"/>
    </row>
    <row r="171" spans="1:2">
      <c r="A171" s="31"/>
      <c r="B171" s="31"/>
    </row>
    <row r="172" spans="1:2">
      <c r="A172" s="31"/>
      <c r="B172" s="31"/>
    </row>
    <row r="173" spans="1:2">
      <c r="A173" s="31"/>
      <c r="B173" s="31"/>
    </row>
    <row r="174" spans="1:2">
      <c r="A174" s="31"/>
      <c r="B174" s="31"/>
    </row>
    <row r="175" spans="1:2">
      <c r="A175" s="31"/>
      <c r="B175" s="31"/>
    </row>
    <row r="176" spans="1:2">
      <c r="A176" s="31"/>
      <c r="B176" s="31"/>
    </row>
    <row r="177" spans="1:2">
      <c r="A177" s="31"/>
      <c r="B177" s="31"/>
    </row>
    <row r="178" spans="1:2">
      <c r="A178" s="31"/>
      <c r="B178" s="31"/>
    </row>
    <row r="179" spans="1:2">
      <c r="A179" s="31"/>
      <c r="B179" s="31"/>
    </row>
    <row r="180" spans="1:2">
      <c r="A180" s="31"/>
      <c r="B180" s="31"/>
    </row>
    <row r="181" spans="1:2">
      <c r="A181" s="31"/>
      <c r="B181" s="31"/>
    </row>
    <row r="182" spans="1:2">
      <c r="A182" s="31"/>
      <c r="B182" s="31"/>
    </row>
    <row r="183" spans="1:2">
      <c r="A183" s="31"/>
      <c r="B183" s="31"/>
    </row>
    <row r="184" spans="1:2">
      <c r="A184" s="31"/>
      <c r="B184" s="31"/>
    </row>
    <row r="185" spans="1:2">
      <c r="A185" s="31"/>
      <c r="B185" s="31"/>
    </row>
    <row r="186" spans="1:2">
      <c r="A186" s="31"/>
      <c r="B186" s="31"/>
    </row>
    <row r="187" spans="1:2">
      <c r="A187" s="31"/>
      <c r="B187" s="31"/>
    </row>
    <row r="188" spans="1:2">
      <c r="A188" s="31"/>
      <c r="B188" s="31"/>
    </row>
    <row r="189" spans="1:2">
      <c r="A189" s="31"/>
      <c r="B189" s="31"/>
    </row>
    <row r="190" spans="1:2">
      <c r="A190" s="31"/>
      <c r="B190" s="31"/>
    </row>
    <row r="191" spans="1:2">
      <c r="A191" s="31"/>
      <c r="B191" s="31"/>
    </row>
    <row r="192" spans="1:2">
      <c r="A192" s="31"/>
      <c r="B192" s="31"/>
    </row>
    <row r="193" spans="1:2">
      <c r="A193" s="31"/>
      <c r="B193" s="31"/>
    </row>
    <row r="194" spans="1:2">
      <c r="A194" s="31"/>
      <c r="B194" s="31"/>
    </row>
    <row r="195" spans="1:2">
      <c r="A195" s="31"/>
      <c r="B195" s="31"/>
    </row>
    <row r="196" spans="1:2">
      <c r="A196" s="31"/>
      <c r="B196" s="31"/>
    </row>
    <row r="197" spans="1:2">
      <c r="A197" s="31"/>
      <c r="B197" s="31"/>
    </row>
    <row r="198" spans="1:2">
      <c r="A198" s="31"/>
      <c r="B198" s="31"/>
    </row>
    <row r="199" spans="1:2">
      <c r="A199" s="31"/>
      <c r="B199" s="31"/>
    </row>
    <row r="200" spans="1:2">
      <c r="A200" s="31"/>
      <c r="B200" s="31"/>
    </row>
    <row r="201" spans="1:2">
      <c r="A201" s="31"/>
      <c r="B201" s="31"/>
    </row>
    <row r="202" spans="1:2">
      <c r="A202" s="31"/>
      <c r="B202" s="31"/>
    </row>
    <row r="203" spans="1:2">
      <c r="A203" s="31"/>
      <c r="B203" s="31"/>
    </row>
    <row r="204" spans="1:2">
      <c r="A204" s="31"/>
      <c r="B204" s="31"/>
    </row>
    <row r="205" spans="1:2">
      <c r="A205" s="31"/>
      <c r="B205" s="31"/>
    </row>
    <row r="206" spans="1:2">
      <c r="A206" s="31"/>
      <c r="B206" s="31"/>
    </row>
    <row r="207" spans="1:2">
      <c r="A207" s="31"/>
      <c r="B207" s="31"/>
    </row>
    <row r="208" spans="1:2">
      <c r="A208" s="31"/>
      <c r="B208" s="31"/>
    </row>
    <row r="209" spans="1:2">
      <c r="A209" s="31"/>
      <c r="B209" s="31"/>
    </row>
    <row r="210" spans="1:2">
      <c r="A210" s="31"/>
      <c r="B210" s="31"/>
    </row>
    <row r="211" spans="1:2">
      <c r="A211" s="31"/>
      <c r="B211" s="31"/>
    </row>
    <row r="212" spans="1:2">
      <c r="A212" s="31"/>
      <c r="B212" s="31"/>
    </row>
    <row r="213" spans="1:2">
      <c r="A213" s="31"/>
      <c r="B213" s="31"/>
    </row>
    <row r="214" spans="1:2">
      <c r="A214" s="31"/>
      <c r="B214" s="31"/>
    </row>
    <row r="215" spans="1:2">
      <c r="A215" s="31"/>
      <c r="B215" s="31"/>
    </row>
    <row r="216" spans="1:2">
      <c r="A216" s="31"/>
      <c r="B216" s="31"/>
    </row>
    <row r="217" spans="1:2">
      <c r="A217" s="31"/>
      <c r="B217" s="31"/>
    </row>
    <row r="218" spans="1:2">
      <c r="A218" s="31"/>
      <c r="B218" s="31"/>
    </row>
    <row r="219" spans="1:2">
      <c r="A219" s="31"/>
      <c r="B219" s="31"/>
    </row>
    <row r="220" spans="1:2">
      <c r="A220" s="31"/>
      <c r="B220" s="31"/>
    </row>
    <row r="221" spans="1:2">
      <c r="A221" s="31"/>
      <c r="B221" s="31"/>
    </row>
    <row r="222" spans="1:2">
      <c r="A222" s="31"/>
      <c r="B222" s="31"/>
    </row>
    <row r="223" spans="1:2">
      <c r="A223" s="31"/>
      <c r="B223" s="31"/>
    </row>
    <row r="224" spans="1:2">
      <c r="A224" s="31"/>
      <c r="B224" s="31"/>
    </row>
    <row r="225" spans="1:2">
      <c r="A225" s="31"/>
      <c r="B225" s="31"/>
    </row>
    <row r="226" spans="1:2">
      <c r="A226" s="31"/>
      <c r="B226" s="31"/>
    </row>
    <row r="227" spans="1:2">
      <c r="A227" s="31"/>
      <c r="B227" s="31"/>
    </row>
    <row r="228" spans="1:2">
      <c r="A228" s="31"/>
      <c r="B228" s="31"/>
    </row>
    <row r="229" spans="1:2">
      <c r="A229" s="31"/>
      <c r="B229" s="31"/>
    </row>
    <row r="230" spans="1:2">
      <c r="A230" s="31"/>
      <c r="B230" s="31"/>
    </row>
    <row r="231" spans="1:2">
      <c r="A231" s="31"/>
      <c r="B231" s="31"/>
    </row>
    <row r="232" spans="1:2">
      <c r="A232" s="31"/>
      <c r="B232" s="31"/>
    </row>
    <row r="233" spans="1:2">
      <c r="A233" s="31"/>
      <c r="B233" s="31"/>
    </row>
    <row r="234" spans="1:2">
      <c r="A234" s="31"/>
      <c r="B234" s="31"/>
    </row>
    <row r="235" spans="1:2">
      <c r="A235" s="31"/>
      <c r="B235" s="31"/>
    </row>
    <row r="236" spans="1:2">
      <c r="A236" s="31"/>
      <c r="B236" s="31"/>
    </row>
    <row r="237" spans="1:2">
      <c r="A237" s="31"/>
      <c r="B237" s="31"/>
    </row>
    <row r="238" spans="1:2">
      <c r="A238" s="31"/>
      <c r="B238" s="31"/>
    </row>
    <row r="239" spans="1:2">
      <c r="A239" s="31"/>
      <c r="B239" s="31"/>
    </row>
    <row r="240" spans="1:2">
      <c r="A240" s="31"/>
      <c r="B240" s="31"/>
    </row>
    <row r="241" spans="1:2">
      <c r="A241" s="31"/>
      <c r="B241" s="31"/>
    </row>
    <row r="242" spans="1:2">
      <c r="A242" s="31"/>
      <c r="B242" s="31"/>
    </row>
    <row r="243" spans="1:2">
      <c r="A243" s="31"/>
      <c r="B243" s="31"/>
    </row>
    <row r="244" spans="1:2">
      <c r="A244" s="31"/>
      <c r="B244" s="31"/>
    </row>
    <row r="245" spans="1:2">
      <c r="A245" s="31"/>
      <c r="B245" s="31"/>
    </row>
    <row r="246" spans="1:2">
      <c r="A246" s="31"/>
      <c r="B246" s="31"/>
    </row>
    <row r="247" spans="1:2">
      <c r="A247" s="31"/>
      <c r="B247" s="31"/>
    </row>
    <row r="248" spans="1:2">
      <c r="A248" s="31"/>
      <c r="B248" s="31"/>
    </row>
    <row r="249" spans="1:2">
      <c r="A249" s="31"/>
      <c r="B249" s="31"/>
    </row>
    <row r="250" spans="1:2">
      <c r="A250" s="31"/>
      <c r="B250" s="31"/>
    </row>
    <row r="251" spans="1:2">
      <c r="A251" s="31"/>
      <c r="B251" s="31"/>
    </row>
    <row r="252" spans="1:2">
      <c r="A252" s="31"/>
      <c r="B252" s="31"/>
    </row>
    <row r="253" spans="1:2">
      <c r="A253" s="31"/>
      <c r="B253" s="31"/>
    </row>
    <row r="254" spans="1:2">
      <c r="A254" s="31"/>
      <c r="B254" s="31"/>
    </row>
    <row r="255" spans="1:2">
      <c r="A255" s="31"/>
      <c r="B255" s="31"/>
    </row>
    <row r="256" spans="1:2">
      <c r="A256" s="31"/>
      <c r="B256" s="31"/>
    </row>
    <row r="257" spans="1:2">
      <c r="A257" s="31"/>
      <c r="B257" s="31"/>
    </row>
    <row r="258" spans="1:2">
      <c r="A258" s="31"/>
      <c r="B258" s="31"/>
    </row>
    <row r="259" spans="1:2">
      <c r="A259" s="31"/>
      <c r="B259" s="31"/>
    </row>
    <row r="260" spans="1:2">
      <c r="A260" s="31"/>
      <c r="B260" s="31"/>
    </row>
    <row r="261" spans="1:2">
      <c r="A261" s="31"/>
      <c r="B261" s="31"/>
    </row>
    <row r="262" spans="1:2">
      <c r="A262" s="31"/>
      <c r="B262" s="31"/>
    </row>
    <row r="263" spans="1:2">
      <c r="A263" s="31"/>
      <c r="B263" s="31"/>
    </row>
    <row r="264" spans="1:2">
      <c r="A264" s="31"/>
      <c r="B264" s="31"/>
    </row>
    <row r="265" spans="1:2">
      <c r="A265" s="31"/>
      <c r="B265" s="31"/>
    </row>
    <row r="266" spans="1:2">
      <c r="A266" s="31"/>
      <c r="B266" s="31"/>
    </row>
    <row r="267" spans="1:2">
      <c r="A267" s="31"/>
      <c r="B267" s="31"/>
    </row>
    <row r="268" spans="1:2">
      <c r="A268" s="31"/>
      <c r="B268" s="31"/>
    </row>
    <row r="269" spans="1:2">
      <c r="A269" s="31"/>
      <c r="B269" s="31"/>
    </row>
    <row r="270" spans="1:2">
      <c r="A270" s="31"/>
      <c r="B270" s="31"/>
    </row>
    <row r="271" spans="1:2">
      <c r="A271" s="31"/>
      <c r="B271" s="31"/>
    </row>
    <row r="272" spans="1:2">
      <c r="A272" s="31"/>
      <c r="B272" s="31"/>
    </row>
    <row r="273" spans="1:2">
      <c r="A273" s="31"/>
      <c r="B273" s="31"/>
    </row>
    <row r="274" spans="1:2">
      <c r="A274" s="31"/>
      <c r="B274" s="31"/>
    </row>
    <row r="275" spans="1:2">
      <c r="A275" s="31"/>
      <c r="B275" s="31"/>
    </row>
    <row r="276" spans="1:2">
      <c r="A276" s="31"/>
      <c r="B276" s="31"/>
    </row>
    <row r="277" spans="1:2">
      <c r="A277" s="31"/>
      <c r="B277" s="31"/>
    </row>
    <row r="278" spans="1:2">
      <c r="A278" s="31"/>
      <c r="B278" s="31"/>
    </row>
    <row r="279" spans="1:2">
      <c r="A279" s="31"/>
      <c r="B279" s="31"/>
    </row>
    <row r="280" spans="1:2">
      <c r="A280" s="31"/>
      <c r="B280" s="31"/>
    </row>
    <row r="281" spans="1:2">
      <c r="A281" s="31"/>
      <c r="B281" s="31"/>
    </row>
    <row r="282" spans="1:2">
      <c r="A282" s="31"/>
      <c r="B282" s="31"/>
    </row>
    <row r="283" spans="1:2">
      <c r="A283" s="31"/>
      <c r="B283" s="31"/>
    </row>
    <row r="284" spans="1:2">
      <c r="A284" s="31"/>
      <c r="B284" s="31"/>
    </row>
    <row r="285" spans="1:2">
      <c r="A285" s="31"/>
      <c r="B285" s="31"/>
    </row>
    <row r="286" spans="1:2">
      <c r="A286" s="31"/>
      <c r="B286" s="31"/>
    </row>
    <row r="287" spans="1:2">
      <c r="A287" s="31"/>
      <c r="B287" s="31"/>
    </row>
    <row r="288" spans="1:2">
      <c r="A288" s="31"/>
      <c r="B288" s="31"/>
    </row>
    <row r="289" spans="1:2">
      <c r="A289" s="31"/>
      <c r="B289" s="31"/>
    </row>
    <row r="290" spans="1:2">
      <c r="A290" s="31"/>
      <c r="B290" s="31"/>
    </row>
    <row r="291" spans="1:2">
      <c r="A291" s="31"/>
      <c r="B291" s="31"/>
    </row>
    <row r="292" spans="1:2">
      <c r="A292" s="31"/>
      <c r="B292" s="31"/>
    </row>
    <row r="293" spans="1:2">
      <c r="A293" s="31"/>
      <c r="B293" s="31"/>
    </row>
    <row r="294" spans="1:2">
      <c r="A294" s="31"/>
      <c r="B294" s="31"/>
    </row>
    <row r="295" spans="1:2">
      <c r="A295" s="31"/>
      <c r="B295" s="31"/>
    </row>
    <row r="296" spans="1:2">
      <c r="A296" s="31"/>
      <c r="B296" s="31"/>
    </row>
    <row r="297" spans="1:2">
      <c r="A297" s="31"/>
      <c r="B297" s="31"/>
    </row>
    <row r="298" spans="1:2">
      <c r="A298" s="31"/>
      <c r="B298" s="31"/>
    </row>
    <row r="299" spans="1:2">
      <c r="A299" s="31"/>
      <c r="B299" s="31"/>
    </row>
    <row r="300" spans="1:2">
      <c r="A300" s="31"/>
      <c r="B300" s="31"/>
    </row>
    <row r="301" spans="1:2">
      <c r="A301" s="31"/>
      <c r="B301" s="31"/>
    </row>
    <row r="302" spans="1:2">
      <c r="A302" s="31"/>
      <c r="B302" s="31"/>
    </row>
    <row r="303" spans="1:2">
      <c r="A303" s="31"/>
      <c r="B303" s="31"/>
    </row>
    <row r="304" spans="1:2">
      <c r="A304" s="31"/>
      <c r="B304" s="31"/>
    </row>
    <row r="305" spans="1:2">
      <c r="A305" s="31"/>
      <c r="B305" s="31"/>
    </row>
    <row r="306" spans="1:2">
      <c r="A306" s="31"/>
      <c r="B306" s="31"/>
    </row>
    <row r="307" spans="1:2">
      <c r="A307" s="31"/>
      <c r="B307" s="31"/>
    </row>
    <row r="308" spans="1:2">
      <c r="A308" s="31"/>
      <c r="B308" s="31"/>
    </row>
    <row r="309" spans="1:2">
      <c r="A309" s="31"/>
      <c r="B309" s="31"/>
    </row>
    <row r="310" spans="1:2">
      <c r="A310" s="31"/>
      <c r="B310" s="31"/>
    </row>
    <row r="311" spans="1:2">
      <c r="A311" s="31"/>
      <c r="B311" s="31"/>
    </row>
    <row r="312" spans="1:2">
      <c r="A312" s="31"/>
      <c r="B312" s="31"/>
    </row>
    <row r="313" spans="1:2">
      <c r="A313" s="31"/>
      <c r="B313" s="31"/>
    </row>
    <row r="314" spans="1:2">
      <c r="A314" s="31"/>
      <c r="B314" s="31"/>
    </row>
    <row r="315" spans="1:2">
      <c r="A315" s="31"/>
      <c r="B315" s="31"/>
    </row>
    <row r="316" spans="1:2">
      <c r="A316" s="31"/>
      <c r="B316" s="31"/>
    </row>
    <row r="317" spans="1:2">
      <c r="A317" s="31"/>
      <c r="B317" s="31"/>
    </row>
    <row r="318" spans="1:2">
      <c r="A318" s="31"/>
      <c r="B318" s="31"/>
    </row>
    <row r="319" spans="1:2">
      <c r="A319" s="31"/>
      <c r="B319" s="31"/>
    </row>
    <row r="320" spans="1:2">
      <c r="A320" s="31"/>
      <c r="B320" s="31"/>
    </row>
    <row r="321" spans="1:2">
      <c r="A321" s="31"/>
      <c r="B321" s="31"/>
    </row>
    <row r="322" spans="1:2">
      <c r="A322" s="31"/>
      <c r="B322" s="31"/>
    </row>
    <row r="323" spans="1:2">
      <c r="A323" s="31"/>
      <c r="B323" s="31"/>
    </row>
    <row r="324" spans="1:2">
      <c r="A324" s="31"/>
      <c r="B324" s="31"/>
    </row>
    <row r="325" spans="1:2">
      <c r="A325" s="31"/>
      <c r="B325" s="31"/>
    </row>
    <row r="326" spans="1:2">
      <c r="A326" s="31"/>
      <c r="B326" s="31"/>
    </row>
    <row r="327" spans="1:2">
      <c r="A327" s="31"/>
      <c r="B327" s="31"/>
    </row>
    <row r="328" spans="1:2">
      <c r="A328" s="31"/>
      <c r="B328" s="31"/>
    </row>
    <row r="329" spans="1:2">
      <c r="A329" s="31"/>
      <c r="B329" s="31"/>
    </row>
    <row r="330" spans="1:2">
      <c r="A330" s="31"/>
      <c r="B330" s="31"/>
    </row>
    <row r="331" spans="1:2">
      <c r="A331" s="31"/>
      <c r="B331" s="31"/>
    </row>
    <row r="332" spans="1:2">
      <c r="A332" s="31"/>
      <c r="B332" s="31"/>
    </row>
    <row r="333" spans="1:2">
      <c r="A333" s="31"/>
      <c r="B333" s="31"/>
    </row>
    <row r="334" spans="1:2">
      <c r="A334" s="31"/>
      <c r="B334" s="31"/>
    </row>
    <row r="335" spans="1:2">
      <c r="A335" s="31"/>
      <c r="B335" s="31"/>
    </row>
    <row r="336" spans="1:2">
      <c r="A336" s="31"/>
      <c r="B336" s="31"/>
    </row>
    <row r="337" spans="1:2">
      <c r="A337" s="31"/>
      <c r="B337" s="31"/>
    </row>
    <row r="338" spans="1:2">
      <c r="A338" s="31"/>
      <c r="B338" s="31"/>
    </row>
    <row r="339" spans="1:2">
      <c r="A339" s="31"/>
      <c r="B339" s="31"/>
    </row>
    <row r="340" spans="1:2">
      <c r="A340" s="31"/>
      <c r="B340" s="31"/>
    </row>
    <row r="341" spans="1:2">
      <c r="A341" s="31"/>
      <c r="B341" s="31"/>
    </row>
    <row r="342" spans="1:2">
      <c r="A342" s="31"/>
      <c r="B342" s="31"/>
    </row>
    <row r="343" spans="1:2">
      <c r="A343" s="31"/>
      <c r="B343" s="31"/>
    </row>
    <row r="344" spans="1:2">
      <c r="A344" s="31"/>
      <c r="B344" s="31"/>
    </row>
    <row r="345" spans="1:2">
      <c r="A345" s="31"/>
      <c r="B345" s="31"/>
    </row>
    <row r="346" spans="1:2">
      <c r="A346" s="31"/>
      <c r="B346" s="31"/>
    </row>
    <row r="347" spans="1:2">
      <c r="A347" s="31"/>
      <c r="B347" s="31"/>
    </row>
    <row r="348" spans="1:2">
      <c r="A348" s="31"/>
      <c r="B348" s="31"/>
    </row>
    <row r="349" spans="1:2">
      <c r="A349" s="31"/>
      <c r="B349" s="31"/>
    </row>
    <row r="350" spans="1:2">
      <c r="A350" s="31"/>
      <c r="B350" s="31"/>
    </row>
    <row r="351" spans="1:2">
      <c r="A351" s="31"/>
      <c r="B351" s="31"/>
    </row>
    <row r="352" spans="1:2">
      <c r="A352" s="31"/>
      <c r="B352" s="31"/>
    </row>
    <row r="353" spans="1:2">
      <c r="A353" s="31"/>
      <c r="B353" s="31"/>
    </row>
    <row r="354" spans="1:2">
      <c r="A354" s="31"/>
      <c r="B354" s="31"/>
    </row>
    <row r="355" spans="1:2">
      <c r="A355" s="31"/>
      <c r="B355" s="31"/>
    </row>
    <row r="356" spans="1:2">
      <c r="A356" s="31"/>
      <c r="B356" s="31"/>
    </row>
    <row r="357" spans="1:2">
      <c r="A357" s="31"/>
      <c r="B357" s="31"/>
    </row>
    <row r="358" spans="1:2">
      <c r="A358" s="31"/>
      <c r="B358" s="31"/>
    </row>
    <row r="359" spans="1:2">
      <c r="A359" s="31"/>
      <c r="B359" s="31"/>
    </row>
    <row r="360" spans="1:2">
      <c r="A360" s="31"/>
      <c r="B360" s="31"/>
    </row>
    <row r="361" spans="1:2">
      <c r="A361" s="31"/>
      <c r="B361" s="31"/>
    </row>
    <row r="362" spans="1:2">
      <c r="A362" s="31"/>
      <c r="B362" s="31"/>
    </row>
    <row r="363" spans="1:2">
      <c r="A363" s="31"/>
      <c r="B363" s="31"/>
    </row>
    <row r="364" spans="1:2">
      <c r="A364" s="31"/>
      <c r="B364" s="31"/>
    </row>
    <row r="365" spans="1:2">
      <c r="A365" s="31"/>
      <c r="B365" s="31"/>
    </row>
    <row r="366" spans="1:2">
      <c r="A366" s="31"/>
      <c r="B366" s="31"/>
    </row>
    <row r="367" spans="1:2">
      <c r="A367" s="31"/>
      <c r="B367" s="31"/>
    </row>
    <row r="368" spans="1:2">
      <c r="A368" s="31"/>
      <c r="B368" s="31"/>
    </row>
    <row r="369" spans="1:2">
      <c r="A369" s="31"/>
      <c r="B369" s="31"/>
    </row>
    <row r="370" spans="1:2">
      <c r="A370" s="31"/>
      <c r="B370" s="31"/>
    </row>
    <row r="371" spans="1:2">
      <c r="A371" s="31"/>
      <c r="B371" s="31"/>
    </row>
    <row r="372" spans="1:2">
      <c r="A372" s="32"/>
      <c r="B372" s="32"/>
    </row>
  </sheetData>
  <mergeCells count="7">
    <mergeCell ref="A27:B27"/>
    <mergeCell ref="A35:C35"/>
    <mergeCell ref="A43:B43"/>
    <mergeCell ref="A1:B1"/>
    <mergeCell ref="D1:E1"/>
    <mergeCell ref="A11:C11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A6C-1A76-4010-9308-428A8A537DE9}">
  <dimension ref="A1"/>
  <sheetViews>
    <sheetView tabSelected="1" topLeftCell="A10" workbookViewId="0">
      <selection activeCell="P18" sqref="P1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2026-03-31T17:37:47Z</dcterms:created>
  <dcterms:modified xsi:type="dcterms:W3CDTF">2026-04-08T12:32:56Z</dcterms:modified>
  <cp:category/>
  <cp:contentStatus/>
</cp:coreProperties>
</file>